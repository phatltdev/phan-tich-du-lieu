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eart Raw" sheetId="2" r:id="rId2"/>
    <sheet name="Heart Frequency" sheetId="3" r:id="rId3"/>
    <sheet name="Heart Stats" sheetId="4" r:id="rId4"/>
    <sheet name="Heart Scatter" sheetId="5" r:id="rId5"/>
    <sheet name="Appliances Daily" sheetId="6" r:id="rId6"/>
    <sheet name="Appliances Sample" sheetId="7" r:id="rId7"/>
    <sheet name="Appliances Histogram" sheetId="8" r:id="rId8"/>
  </sheets>
  <calcPr calcId="124519" fullCalcOnLoad="1"/>
</workbook>
</file>

<file path=xl/sharedStrings.xml><?xml version="1.0" encoding="utf-8"?>
<sst xmlns="http://schemas.openxmlformats.org/spreadsheetml/2006/main" count="93" uniqueCount="50">
  <si>
    <t>Item</t>
  </si>
  <si>
    <t>Relative path or note</t>
  </si>
  <si>
    <t>Python source</t>
  </si>
  <si>
    <t>Excel workbook</t>
  </si>
  <si>
    <t>Heart input</t>
  </si>
  <si>
    <t>Appliances input</t>
  </si>
  <si>
    <t>Heart Python source for comparison</t>
  </si>
  <si>
    <t>Appliances Python source for comparison</t>
  </si>
  <si>
    <t>Formula note</t>
  </si>
  <si>
    <t>src/create_excel_visualizations.py</t>
  </si>
  <si>
    <t>excel/excel_visualization_comparison.xlsx</t>
  </si>
  <si>
    <t>outputs/cleaned/heart_disease_cleaned.csv</t>
  </si>
  <si>
    <t>outputs/cleaned/appliances_energy_cleaned.csv</t>
  </si>
  <si>
    <t>src/analyze_heart_disease.py</t>
  </si>
  <si>
    <t>src/analyze_appliances_energy.py</t>
  </si>
  <si>
    <t>Heart stats sheet uses Excel formulas: AVERAGE, MEDIAN, STDEV.S, MIN, MAX, QUARTILE.INC.</t>
  </si>
  <si>
    <t>Appliances daily sheet stores daily mean, daily standard deviation, and log1p target used for charts.</t>
  </si>
  <si>
    <t>age</t>
  </si>
  <si>
    <t>cp</t>
  </si>
  <si>
    <t>chol</t>
  </si>
  <si>
    <t>thalach</t>
  </si>
  <si>
    <t>trestbps</t>
  </si>
  <si>
    <t>oldpeak</t>
  </si>
  <si>
    <t>target_binary</t>
  </si>
  <si>
    <t>count</t>
  </si>
  <si>
    <t>relative_frequency</t>
  </si>
  <si>
    <t>variable</t>
  </si>
  <si>
    <t>mean</t>
  </si>
  <si>
    <t>median</t>
  </si>
  <si>
    <t>std</t>
  </si>
  <si>
    <t>min</t>
  </si>
  <si>
    <t>max</t>
  </si>
  <si>
    <t>iqr</t>
  </si>
  <si>
    <t>cv</t>
  </si>
  <si>
    <t>day</t>
  </si>
  <si>
    <t>mean_appliances</t>
  </si>
  <si>
    <t>std_appliances</t>
  </si>
  <si>
    <t>mean_log1p</t>
  </si>
  <si>
    <t>Appliances</t>
  </si>
  <si>
    <t>Appliances_log1p</t>
  </si>
  <si>
    <t>T_out</t>
  </si>
  <si>
    <t>RH_out</t>
  </si>
  <si>
    <t>Windspeed</t>
  </si>
  <si>
    <t>Distribution source</t>
  </si>
  <si>
    <t>Use columns Appliances and Appliances_log1p to create Excel histograms.</t>
  </si>
  <si>
    <t>Formula: log1p(Appliances) = LN(1 + Appliances).</t>
  </si>
  <si>
    <t>raw_bin_midpoint</t>
  </si>
  <si>
    <t>raw_count</t>
  </si>
  <si>
    <t>log1p_bin_midpoint</t>
  </si>
  <si>
    <t>log1p_count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</si>
</sst>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#,##0.00"/>
    <numFmt numFmtId="166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AF3F8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Heart Disease - Chest Pain Type Frequency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Chest pain frequency</c:v>
          </c:tx>
          <c:spPr>
            <a:solidFill>
              <a:srgbClr val="4E79A7"/>
            </a:solidFill>
          </c:spPr>
          <c:cat>
            <c:numRef>
              <c:f>'Heart Frequency'!$A$2:$A$5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'Heart Frequency'!$B$2:$B$5</c:f>
              <c:numCache>
                <c:formatCode>General</c:formatCode>
                <c:ptCount val="4"/>
                <c:pt idx="0">
                  <c:v>23</c:v>
                </c:pt>
                <c:pt idx="1">
                  <c:v>50</c:v>
                </c:pt>
                <c:pt idx="2">
                  <c:v>86</c:v>
                </c:pt>
                <c:pt idx="3">
                  <c:v>144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cp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Heart Disease - Age vs Thalach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Age-Thalach</c:v>
          </c:tx>
          <c:marker>
            <c:symbol val="circle"/>
            <c:size val="4"/>
            <c:spPr>
              <a:solidFill>
                <a:srgbClr val="4E79A7"/>
              </a:solidFill>
              <a:ln>
                <a:solidFill>
                  <a:srgbClr val="4E79A7"/>
                </a:solidFill>
              </a:ln>
            </c:spPr>
          </c:marker>
          <c:xVal>
            <c:numRef>
              <c:f>'Heart Scatter'!$A$2:$A$304</c:f>
              <c:numCache>
                <c:formatCode>General</c:formatCode>
                <c:ptCount val="303"/>
                <c:pt idx="0">
                  <c:v>63</c:v>
                </c:pt>
                <c:pt idx="1">
                  <c:v>67</c:v>
                </c:pt>
                <c:pt idx="2">
                  <c:v>67</c:v>
                </c:pt>
                <c:pt idx="3">
                  <c:v>37</c:v>
                </c:pt>
                <c:pt idx="4">
                  <c:v>41</c:v>
                </c:pt>
                <c:pt idx="5">
                  <c:v>56</c:v>
                </c:pt>
                <c:pt idx="6">
                  <c:v>62</c:v>
                </c:pt>
                <c:pt idx="7">
                  <c:v>57</c:v>
                </c:pt>
                <c:pt idx="8">
                  <c:v>63</c:v>
                </c:pt>
                <c:pt idx="9">
                  <c:v>53</c:v>
                </c:pt>
                <c:pt idx="10">
                  <c:v>57</c:v>
                </c:pt>
                <c:pt idx="11">
                  <c:v>56</c:v>
                </c:pt>
                <c:pt idx="12">
                  <c:v>56</c:v>
                </c:pt>
                <c:pt idx="13">
                  <c:v>44</c:v>
                </c:pt>
                <c:pt idx="14">
                  <c:v>52</c:v>
                </c:pt>
                <c:pt idx="15">
                  <c:v>57</c:v>
                </c:pt>
                <c:pt idx="16">
                  <c:v>48</c:v>
                </c:pt>
                <c:pt idx="17">
                  <c:v>54</c:v>
                </c:pt>
                <c:pt idx="18">
                  <c:v>48</c:v>
                </c:pt>
                <c:pt idx="19">
                  <c:v>49</c:v>
                </c:pt>
                <c:pt idx="20">
                  <c:v>64</c:v>
                </c:pt>
                <c:pt idx="21">
                  <c:v>58</c:v>
                </c:pt>
                <c:pt idx="22">
                  <c:v>58</c:v>
                </c:pt>
                <c:pt idx="23">
                  <c:v>58</c:v>
                </c:pt>
                <c:pt idx="24">
                  <c:v>60</c:v>
                </c:pt>
                <c:pt idx="25">
                  <c:v>50</c:v>
                </c:pt>
                <c:pt idx="26">
                  <c:v>58</c:v>
                </c:pt>
                <c:pt idx="27">
                  <c:v>66</c:v>
                </c:pt>
                <c:pt idx="28">
                  <c:v>43</c:v>
                </c:pt>
                <c:pt idx="29">
                  <c:v>40</c:v>
                </c:pt>
                <c:pt idx="30">
                  <c:v>69</c:v>
                </c:pt>
                <c:pt idx="31">
                  <c:v>60</c:v>
                </c:pt>
                <c:pt idx="32">
                  <c:v>64</c:v>
                </c:pt>
                <c:pt idx="33">
                  <c:v>59</c:v>
                </c:pt>
                <c:pt idx="34">
                  <c:v>44</c:v>
                </c:pt>
                <c:pt idx="35">
                  <c:v>42</c:v>
                </c:pt>
                <c:pt idx="36">
                  <c:v>43</c:v>
                </c:pt>
                <c:pt idx="37">
                  <c:v>57</c:v>
                </c:pt>
                <c:pt idx="38">
                  <c:v>55</c:v>
                </c:pt>
                <c:pt idx="39">
                  <c:v>61</c:v>
                </c:pt>
                <c:pt idx="40">
                  <c:v>65</c:v>
                </c:pt>
                <c:pt idx="41">
                  <c:v>40</c:v>
                </c:pt>
                <c:pt idx="42">
                  <c:v>71</c:v>
                </c:pt>
                <c:pt idx="43">
                  <c:v>59</c:v>
                </c:pt>
                <c:pt idx="44">
                  <c:v>61</c:v>
                </c:pt>
                <c:pt idx="45">
                  <c:v>58</c:v>
                </c:pt>
                <c:pt idx="46">
                  <c:v>51</c:v>
                </c:pt>
                <c:pt idx="47">
                  <c:v>50</c:v>
                </c:pt>
                <c:pt idx="48">
                  <c:v>65</c:v>
                </c:pt>
                <c:pt idx="49">
                  <c:v>53</c:v>
                </c:pt>
                <c:pt idx="50">
                  <c:v>41</c:v>
                </c:pt>
                <c:pt idx="51">
                  <c:v>65</c:v>
                </c:pt>
                <c:pt idx="52">
                  <c:v>44</c:v>
                </c:pt>
                <c:pt idx="53">
                  <c:v>44</c:v>
                </c:pt>
                <c:pt idx="54">
                  <c:v>60</c:v>
                </c:pt>
                <c:pt idx="55">
                  <c:v>54</c:v>
                </c:pt>
                <c:pt idx="56">
                  <c:v>50</c:v>
                </c:pt>
                <c:pt idx="57">
                  <c:v>41</c:v>
                </c:pt>
                <c:pt idx="58">
                  <c:v>54</c:v>
                </c:pt>
                <c:pt idx="59">
                  <c:v>51</c:v>
                </c:pt>
                <c:pt idx="60">
                  <c:v>51</c:v>
                </c:pt>
                <c:pt idx="61">
                  <c:v>46</c:v>
                </c:pt>
                <c:pt idx="62">
                  <c:v>58</c:v>
                </c:pt>
                <c:pt idx="63">
                  <c:v>54</c:v>
                </c:pt>
                <c:pt idx="64">
                  <c:v>54</c:v>
                </c:pt>
                <c:pt idx="65">
                  <c:v>60</c:v>
                </c:pt>
                <c:pt idx="66">
                  <c:v>60</c:v>
                </c:pt>
                <c:pt idx="67">
                  <c:v>54</c:v>
                </c:pt>
                <c:pt idx="68">
                  <c:v>59</c:v>
                </c:pt>
                <c:pt idx="69">
                  <c:v>46</c:v>
                </c:pt>
                <c:pt idx="70">
                  <c:v>65</c:v>
                </c:pt>
                <c:pt idx="71">
                  <c:v>67</c:v>
                </c:pt>
                <c:pt idx="72">
                  <c:v>62</c:v>
                </c:pt>
                <c:pt idx="73">
                  <c:v>65</c:v>
                </c:pt>
                <c:pt idx="74">
                  <c:v>44</c:v>
                </c:pt>
                <c:pt idx="75">
                  <c:v>65</c:v>
                </c:pt>
                <c:pt idx="76">
                  <c:v>60</c:v>
                </c:pt>
                <c:pt idx="77">
                  <c:v>51</c:v>
                </c:pt>
                <c:pt idx="78">
                  <c:v>48</c:v>
                </c:pt>
                <c:pt idx="79">
                  <c:v>58</c:v>
                </c:pt>
                <c:pt idx="80">
                  <c:v>45</c:v>
                </c:pt>
                <c:pt idx="81">
                  <c:v>53</c:v>
                </c:pt>
                <c:pt idx="82">
                  <c:v>39</c:v>
                </c:pt>
                <c:pt idx="83">
                  <c:v>68</c:v>
                </c:pt>
                <c:pt idx="84">
                  <c:v>52</c:v>
                </c:pt>
                <c:pt idx="85">
                  <c:v>44</c:v>
                </c:pt>
                <c:pt idx="86">
                  <c:v>47</c:v>
                </c:pt>
                <c:pt idx="87">
                  <c:v>53</c:v>
                </c:pt>
                <c:pt idx="88">
                  <c:v>53</c:v>
                </c:pt>
                <c:pt idx="89">
                  <c:v>51</c:v>
                </c:pt>
                <c:pt idx="90">
                  <c:v>66</c:v>
                </c:pt>
                <c:pt idx="91">
                  <c:v>62</c:v>
                </c:pt>
                <c:pt idx="92">
                  <c:v>62</c:v>
                </c:pt>
                <c:pt idx="93">
                  <c:v>44</c:v>
                </c:pt>
                <c:pt idx="94">
                  <c:v>63</c:v>
                </c:pt>
                <c:pt idx="95">
                  <c:v>52</c:v>
                </c:pt>
                <c:pt idx="96">
                  <c:v>59</c:v>
                </c:pt>
                <c:pt idx="97">
                  <c:v>60</c:v>
                </c:pt>
                <c:pt idx="98">
                  <c:v>52</c:v>
                </c:pt>
                <c:pt idx="99">
                  <c:v>48</c:v>
                </c:pt>
                <c:pt idx="100">
                  <c:v>45</c:v>
                </c:pt>
                <c:pt idx="101">
                  <c:v>34</c:v>
                </c:pt>
                <c:pt idx="102">
                  <c:v>57</c:v>
                </c:pt>
                <c:pt idx="103">
                  <c:v>71</c:v>
                </c:pt>
                <c:pt idx="104">
                  <c:v>49</c:v>
                </c:pt>
                <c:pt idx="105">
                  <c:v>54</c:v>
                </c:pt>
                <c:pt idx="106">
                  <c:v>59</c:v>
                </c:pt>
                <c:pt idx="107">
                  <c:v>57</c:v>
                </c:pt>
                <c:pt idx="108">
                  <c:v>61</c:v>
                </c:pt>
                <c:pt idx="109">
                  <c:v>39</c:v>
                </c:pt>
                <c:pt idx="110">
                  <c:v>61</c:v>
                </c:pt>
                <c:pt idx="111">
                  <c:v>56</c:v>
                </c:pt>
                <c:pt idx="112">
                  <c:v>52</c:v>
                </c:pt>
                <c:pt idx="113">
                  <c:v>43</c:v>
                </c:pt>
                <c:pt idx="114">
                  <c:v>62</c:v>
                </c:pt>
                <c:pt idx="115">
                  <c:v>41</c:v>
                </c:pt>
                <c:pt idx="116">
                  <c:v>58</c:v>
                </c:pt>
                <c:pt idx="117">
                  <c:v>35</c:v>
                </c:pt>
                <c:pt idx="118">
                  <c:v>63</c:v>
                </c:pt>
                <c:pt idx="119">
                  <c:v>65</c:v>
                </c:pt>
                <c:pt idx="120">
                  <c:v>48</c:v>
                </c:pt>
                <c:pt idx="121">
                  <c:v>63</c:v>
                </c:pt>
                <c:pt idx="122">
                  <c:v>51</c:v>
                </c:pt>
                <c:pt idx="123">
                  <c:v>55</c:v>
                </c:pt>
                <c:pt idx="124">
                  <c:v>65</c:v>
                </c:pt>
                <c:pt idx="125">
                  <c:v>45</c:v>
                </c:pt>
                <c:pt idx="126">
                  <c:v>56</c:v>
                </c:pt>
                <c:pt idx="127">
                  <c:v>54</c:v>
                </c:pt>
                <c:pt idx="128">
                  <c:v>44</c:v>
                </c:pt>
                <c:pt idx="129">
                  <c:v>62</c:v>
                </c:pt>
                <c:pt idx="130">
                  <c:v>54</c:v>
                </c:pt>
                <c:pt idx="131">
                  <c:v>51</c:v>
                </c:pt>
                <c:pt idx="132">
                  <c:v>29</c:v>
                </c:pt>
                <c:pt idx="133">
                  <c:v>51</c:v>
                </c:pt>
                <c:pt idx="134">
                  <c:v>43</c:v>
                </c:pt>
                <c:pt idx="135">
                  <c:v>55</c:v>
                </c:pt>
                <c:pt idx="136">
                  <c:v>70</c:v>
                </c:pt>
                <c:pt idx="137">
                  <c:v>62</c:v>
                </c:pt>
                <c:pt idx="138">
                  <c:v>35</c:v>
                </c:pt>
                <c:pt idx="139">
                  <c:v>51</c:v>
                </c:pt>
                <c:pt idx="140">
                  <c:v>59</c:v>
                </c:pt>
                <c:pt idx="141">
                  <c:v>59</c:v>
                </c:pt>
                <c:pt idx="142">
                  <c:v>52</c:v>
                </c:pt>
                <c:pt idx="143">
                  <c:v>64</c:v>
                </c:pt>
                <c:pt idx="144">
                  <c:v>58</c:v>
                </c:pt>
                <c:pt idx="145">
                  <c:v>47</c:v>
                </c:pt>
                <c:pt idx="146">
                  <c:v>57</c:v>
                </c:pt>
                <c:pt idx="147">
                  <c:v>41</c:v>
                </c:pt>
                <c:pt idx="148">
                  <c:v>45</c:v>
                </c:pt>
                <c:pt idx="149">
                  <c:v>60</c:v>
                </c:pt>
                <c:pt idx="150">
                  <c:v>52</c:v>
                </c:pt>
                <c:pt idx="151">
                  <c:v>42</c:v>
                </c:pt>
                <c:pt idx="152">
                  <c:v>67</c:v>
                </c:pt>
                <c:pt idx="153">
                  <c:v>55</c:v>
                </c:pt>
                <c:pt idx="154">
                  <c:v>64</c:v>
                </c:pt>
                <c:pt idx="155">
                  <c:v>70</c:v>
                </c:pt>
                <c:pt idx="156">
                  <c:v>51</c:v>
                </c:pt>
                <c:pt idx="157">
                  <c:v>58</c:v>
                </c:pt>
                <c:pt idx="158">
                  <c:v>60</c:v>
                </c:pt>
                <c:pt idx="159">
                  <c:v>68</c:v>
                </c:pt>
                <c:pt idx="160">
                  <c:v>46</c:v>
                </c:pt>
                <c:pt idx="161">
                  <c:v>77</c:v>
                </c:pt>
                <c:pt idx="162">
                  <c:v>54</c:v>
                </c:pt>
                <c:pt idx="163">
                  <c:v>58</c:v>
                </c:pt>
                <c:pt idx="164">
                  <c:v>48</c:v>
                </c:pt>
                <c:pt idx="165">
                  <c:v>57</c:v>
                </c:pt>
                <c:pt idx="166">
                  <c:v>52</c:v>
                </c:pt>
                <c:pt idx="167">
                  <c:v>54</c:v>
                </c:pt>
                <c:pt idx="168">
                  <c:v>35</c:v>
                </c:pt>
                <c:pt idx="169">
                  <c:v>45</c:v>
                </c:pt>
                <c:pt idx="170">
                  <c:v>70</c:v>
                </c:pt>
                <c:pt idx="171">
                  <c:v>53</c:v>
                </c:pt>
                <c:pt idx="172">
                  <c:v>59</c:v>
                </c:pt>
                <c:pt idx="173">
                  <c:v>62</c:v>
                </c:pt>
                <c:pt idx="174">
                  <c:v>64</c:v>
                </c:pt>
                <c:pt idx="175">
                  <c:v>57</c:v>
                </c:pt>
                <c:pt idx="176">
                  <c:v>52</c:v>
                </c:pt>
                <c:pt idx="177">
                  <c:v>56</c:v>
                </c:pt>
                <c:pt idx="178">
                  <c:v>43</c:v>
                </c:pt>
                <c:pt idx="179">
                  <c:v>53</c:v>
                </c:pt>
                <c:pt idx="180">
                  <c:v>48</c:v>
                </c:pt>
                <c:pt idx="181">
                  <c:v>56</c:v>
                </c:pt>
                <c:pt idx="182">
                  <c:v>42</c:v>
                </c:pt>
                <c:pt idx="183">
                  <c:v>59</c:v>
                </c:pt>
                <c:pt idx="184">
                  <c:v>60</c:v>
                </c:pt>
                <c:pt idx="185">
                  <c:v>63</c:v>
                </c:pt>
                <c:pt idx="186">
                  <c:v>42</c:v>
                </c:pt>
                <c:pt idx="187">
                  <c:v>66</c:v>
                </c:pt>
                <c:pt idx="188">
                  <c:v>54</c:v>
                </c:pt>
                <c:pt idx="189">
                  <c:v>69</c:v>
                </c:pt>
                <c:pt idx="190">
                  <c:v>50</c:v>
                </c:pt>
                <c:pt idx="191">
                  <c:v>51</c:v>
                </c:pt>
                <c:pt idx="192">
                  <c:v>43</c:v>
                </c:pt>
                <c:pt idx="193">
                  <c:v>62</c:v>
                </c:pt>
                <c:pt idx="194">
                  <c:v>68</c:v>
                </c:pt>
                <c:pt idx="195">
                  <c:v>67</c:v>
                </c:pt>
                <c:pt idx="196">
                  <c:v>69</c:v>
                </c:pt>
                <c:pt idx="197">
                  <c:v>45</c:v>
                </c:pt>
                <c:pt idx="198">
                  <c:v>50</c:v>
                </c:pt>
                <c:pt idx="199">
                  <c:v>59</c:v>
                </c:pt>
                <c:pt idx="200">
                  <c:v>50</c:v>
                </c:pt>
                <c:pt idx="201">
                  <c:v>64</c:v>
                </c:pt>
                <c:pt idx="202">
                  <c:v>57</c:v>
                </c:pt>
                <c:pt idx="203">
                  <c:v>64</c:v>
                </c:pt>
                <c:pt idx="204">
                  <c:v>43</c:v>
                </c:pt>
                <c:pt idx="205">
                  <c:v>45</c:v>
                </c:pt>
                <c:pt idx="206">
                  <c:v>58</c:v>
                </c:pt>
                <c:pt idx="207">
                  <c:v>50</c:v>
                </c:pt>
                <c:pt idx="208">
                  <c:v>55</c:v>
                </c:pt>
                <c:pt idx="209">
                  <c:v>62</c:v>
                </c:pt>
                <c:pt idx="210">
                  <c:v>37</c:v>
                </c:pt>
                <c:pt idx="211">
                  <c:v>38</c:v>
                </c:pt>
                <c:pt idx="212">
                  <c:v>41</c:v>
                </c:pt>
                <c:pt idx="213">
                  <c:v>66</c:v>
                </c:pt>
                <c:pt idx="214">
                  <c:v>52</c:v>
                </c:pt>
                <c:pt idx="215">
                  <c:v>56</c:v>
                </c:pt>
                <c:pt idx="216">
                  <c:v>46</c:v>
                </c:pt>
                <c:pt idx="217">
                  <c:v>46</c:v>
                </c:pt>
                <c:pt idx="218">
                  <c:v>64</c:v>
                </c:pt>
                <c:pt idx="219">
                  <c:v>59</c:v>
                </c:pt>
                <c:pt idx="220">
                  <c:v>41</c:v>
                </c:pt>
                <c:pt idx="221">
                  <c:v>54</c:v>
                </c:pt>
                <c:pt idx="222">
                  <c:v>39</c:v>
                </c:pt>
                <c:pt idx="223">
                  <c:v>53</c:v>
                </c:pt>
                <c:pt idx="224">
                  <c:v>63</c:v>
                </c:pt>
                <c:pt idx="225">
                  <c:v>34</c:v>
                </c:pt>
                <c:pt idx="226">
                  <c:v>47</c:v>
                </c:pt>
                <c:pt idx="227">
                  <c:v>67</c:v>
                </c:pt>
                <c:pt idx="228">
                  <c:v>54</c:v>
                </c:pt>
                <c:pt idx="229">
                  <c:v>66</c:v>
                </c:pt>
                <c:pt idx="230">
                  <c:v>52</c:v>
                </c:pt>
                <c:pt idx="231">
                  <c:v>55</c:v>
                </c:pt>
                <c:pt idx="232">
                  <c:v>49</c:v>
                </c:pt>
                <c:pt idx="233">
                  <c:v>74</c:v>
                </c:pt>
                <c:pt idx="234">
                  <c:v>54</c:v>
                </c:pt>
                <c:pt idx="235">
                  <c:v>54</c:v>
                </c:pt>
                <c:pt idx="236">
                  <c:v>56</c:v>
                </c:pt>
                <c:pt idx="237">
                  <c:v>46</c:v>
                </c:pt>
                <c:pt idx="238">
                  <c:v>49</c:v>
                </c:pt>
                <c:pt idx="239">
                  <c:v>42</c:v>
                </c:pt>
                <c:pt idx="240">
                  <c:v>41</c:v>
                </c:pt>
                <c:pt idx="241">
                  <c:v>41</c:v>
                </c:pt>
                <c:pt idx="242">
                  <c:v>49</c:v>
                </c:pt>
                <c:pt idx="243">
                  <c:v>61</c:v>
                </c:pt>
                <c:pt idx="244">
                  <c:v>60</c:v>
                </c:pt>
                <c:pt idx="245">
                  <c:v>67</c:v>
                </c:pt>
                <c:pt idx="246">
                  <c:v>58</c:v>
                </c:pt>
                <c:pt idx="247">
                  <c:v>47</c:v>
                </c:pt>
                <c:pt idx="248">
                  <c:v>52</c:v>
                </c:pt>
                <c:pt idx="249">
                  <c:v>62</c:v>
                </c:pt>
                <c:pt idx="250">
                  <c:v>57</c:v>
                </c:pt>
                <c:pt idx="251">
                  <c:v>58</c:v>
                </c:pt>
                <c:pt idx="252">
                  <c:v>64</c:v>
                </c:pt>
                <c:pt idx="253">
                  <c:v>51</c:v>
                </c:pt>
                <c:pt idx="254">
                  <c:v>43</c:v>
                </c:pt>
                <c:pt idx="255">
                  <c:v>42</c:v>
                </c:pt>
                <c:pt idx="256">
                  <c:v>67</c:v>
                </c:pt>
                <c:pt idx="257">
                  <c:v>76</c:v>
                </c:pt>
                <c:pt idx="258">
                  <c:v>70</c:v>
                </c:pt>
                <c:pt idx="259">
                  <c:v>57</c:v>
                </c:pt>
                <c:pt idx="260">
                  <c:v>44</c:v>
                </c:pt>
                <c:pt idx="261">
                  <c:v>58</c:v>
                </c:pt>
                <c:pt idx="262">
                  <c:v>60</c:v>
                </c:pt>
                <c:pt idx="263">
                  <c:v>44</c:v>
                </c:pt>
                <c:pt idx="264">
                  <c:v>61</c:v>
                </c:pt>
                <c:pt idx="265">
                  <c:v>42</c:v>
                </c:pt>
                <c:pt idx="266">
                  <c:v>52</c:v>
                </c:pt>
                <c:pt idx="267">
                  <c:v>59</c:v>
                </c:pt>
                <c:pt idx="268">
                  <c:v>40</c:v>
                </c:pt>
                <c:pt idx="269">
                  <c:v>42</c:v>
                </c:pt>
                <c:pt idx="270">
                  <c:v>61</c:v>
                </c:pt>
                <c:pt idx="271">
                  <c:v>66</c:v>
                </c:pt>
                <c:pt idx="272">
                  <c:v>46</c:v>
                </c:pt>
                <c:pt idx="273">
                  <c:v>71</c:v>
                </c:pt>
                <c:pt idx="274">
                  <c:v>59</c:v>
                </c:pt>
                <c:pt idx="275">
                  <c:v>64</c:v>
                </c:pt>
                <c:pt idx="276">
                  <c:v>66</c:v>
                </c:pt>
                <c:pt idx="277">
                  <c:v>39</c:v>
                </c:pt>
                <c:pt idx="278">
                  <c:v>57</c:v>
                </c:pt>
                <c:pt idx="279">
                  <c:v>58</c:v>
                </c:pt>
                <c:pt idx="280">
                  <c:v>57</c:v>
                </c:pt>
                <c:pt idx="281">
                  <c:v>47</c:v>
                </c:pt>
                <c:pt idx="282">
                  <c:v>55</c:v>
                </c:pt>
                <c:pt idx="283">
                  <c:v>35</c:v>
                </c:pt>
                <c:pt idx="284">
                  <c:v>61</c:v>
                </c:pt>
                <c:pt idx="285">
                  <c:v>58</c:v>
                </c:pt>
                <c:pt idx="286">
                  <c:v>58</c:v>
                </c:pt>
                <c:pt idx="287">
                  <c:v>58</c:v>
                </c:pt>
                <c:pt idx="288">
                  <c:v>56</c:v>
                </c:pt>
                <c:pt idx="289">
                  <c:v>56</c:v>
                </c:pt>
                <c:pt idx="290">
                  <c:v>67</c:v>
                </c:pt>
                <c:pt idx="291">
                  <c:v>55</c:v>
                </c:pt>
                <c:pt idx="292">
                  <c:v>44</c:v>
                </c:pt>
                <c:pt idx="293">
                  <c:v>63</c:v>
                </c:pt>
                <c:pt idx="294">
                  <c:v>63</c:v>
                </c:pt>
                <c:pt idx="295">
                  <c:v>41</c:v>
                </c:pt>
                <c:pt idx="296">
                  <c:v>59</c:v>
                </c:pt>
                <c:pt idx="297">
                  <c:v>57</c:v>
                </c:pt>
                <c:pt idx="298">
                  <c:v>45</c:v>
                </c:pt>
                <c:pt idx="299">
                  <c:v>68</c:v>
                </c:pt>
                <c:pt idx="300">
                  <c:v>57</c:v>
                </c:pt>
                <c:pt idx="301">
                  <c:v>57</c:v>
                </c:pt>
                <c:pt idx="302">
                  <c:v>38</c:v>
                </c:pt>
              </c:numCache>
            </c:numRef>
          </c:xVal>
          <c:yVal>
            <c:numRef>
              <c:f>'Heart Scatter'!$B$2:$B$304</c:f>
              <c:numCache>
                <c:formatCode>General</c:formatCode>
                <c:ptCount val="303"/>
                <c:pt idx="0">
                  <c:v>150</c:v>
                </c:pt>
                <c:pt idx="1">
                  <c:v>108</c:v>
                </c:pt>
                <c:pt idx="2">
                  <c:v>129</c:v>
                </c:pt>
                <c:pt idx="3">
                  <c:v>187</c:v>
                </c:pt>
                <c:pt idx="4">
                  <c:v>172</c:v>
                </c:pt>
                <c:pt idx="5">
                  <c:v>178</c:v>
                </c:pt>
                <c:pt idx="6">
                  <c:v>160</c:v>
                </c:pt>
                <c:pt idx="7">
                  <c:v>163</c:v>
                </c:pt>
                <c:pt idx="8">
                  <c:v>147</c:v>
                </c:pt>
                <c:pt idx="9">
                  <c:v>155</c:v>
                </c:pt>
                <c:pt idx="10">
                  <c:v>148</c:v>
                </c:pt>
                <c:pt idx="11">
                  <c:v>153</c:v>
                </c:pt>
                <c:pt idx="12">
                  <c:v>142</c:v>
                </c:pt>
                <c:pt idx="13">
                  <c:v>173</c:v>
                </c:pt>
                <c:pt idx="14">
                  <c:v>162</c:v>
                </c:pt>
                <c:pt idx="15">
                  <c:v>174</c:v>
                </c:pt>
                <c:pt idx="16">
                  <c:v>168</c:v>
                </c:pt>
                <c:pt idx="17">
                  <c:v>160</c:v>
                </c:pt>
                <c:pt idx="18">
                  <c:v>139</c:v>
                </c:pt>
                <c:pt idx="19">
                  <c:v>171</c:v>
                </c:pt>
                <c:pt idx="20">
                  <c:v>144</c:v>
                </c:pt>
                <c:pt idx="21">
                  <c:v>162</c:v>
                </c:pt>
                <c:pt idx="22">
                  <c:v>160</c:v>
                </c:pt>
                <c:pt idx="23">
                  <c:v>173</c:v>
                </c:pt>
                <c:pt idx="24">
                  <c:v>132</c:v>
                </c:pt>
                <c:pt idx="25">
                  <c:v>158</c:v>
                </c:pt>
                <c:pt idx="26">
                  <c:v>172</c:v>
                </c:pt>
                <c:pt idx="27">
                  <c:v>114</c:v>
                </c:pt>
                <c:pt idx="28">
                  <c:v>171</c:v>
                </c:pt>
                <c:pt idx="29">
                  <c:v>114</c:v>
                </c:pt>
                <c:pt idx="30">
                  <c:v>151</c:v>
                </c:pt>
                <c:pt idx="31">
                  <c:v>160</c:v>
                </c:pt>
                <c:pt idx="32">
                  <c:v>158</c:v>
                </c:pt>
                <c:pt idx="33">
                  <c:v>161</c:v>
                </c:pt>
                <c:pt idx="34">
                  <c:v>179</c:v>
                </c:pt>
                <c:pt idx="35">
                  <c:v>178</c:v>
                </c:pt>
                <c:pt idx="36">
                  <c:v>120</c:v>
                </c:pt>
                <c:pt idx="37">
                  <c:v>112</c:v>
                </c:pt>
                <c:pt idx="38">
                  <c:v>132</c:v>
                </c:pt>
                <c:pt idx="39">
                  <c:v>137</c:v>
                </c:pt>
                <c:pt idx="40">
                  <c:v>114</c:v>
                </c:pt>
                <c:pt idx="41">
                  <c:v>178</c:v>
                </c:pt>
                <c:pt idx="42">
                  <c:v>162</c:v>
                </c:pt>
                <c:pt idx="43">
                  <c:v>157</c:v>
                </c:pt>
                <c:pt idx="44">
                  <c:v>169</c:v>
                </c:pt>
                <c:pt idx="45">
                  <c:v>165</c:v>
                </c:pt>
                <c:pt idx="46">
                  <c:v>123</c:v>
                </c:pt>
                <c:pt idx="47">
                  <c:v>128</c:v>
                </c:pt>
                <c:pt idx="48">
                  <c:v>157</c:v>
                </c:pt>
                <c:pt idx="49">
                  <c:v>152</c:v>
                </c:pt>
                <c:pt idx="50">
                  <c:v>168</c:v>
                </c:pt>
                <c:pt idx="51">
                  <c:v>140</c:v>
                </c:pt>
                <c:pt idx="52">
                  <c:v>153</c:v>
                </c:pt>
                <c:pt idx="53">
                  <c:v>188</c:v>
                </c:pt>
                <c:pt idx="54">
                  <c:v>144</c:v>
                </c:pt>
                <c:pt idx="55">
                  <c:v>109</c:v>
                </c:pt>
                <c:pt idx="56">
                  <c:v>163</c:v>
                </c:pt>
                <c:pt idx="57">
                  <c:v>158</c:v>
                </c:pt>
                <c:pt idx="58">
                  <c:v>152</c:v>
                </c:pt>
                <c:pt idx="59">
                  <c:v>125</c:v>
                </c:pt>
                <c:pt idx="60">
                  <c:v>142</c:v>
                </c:pt>
                <c:pt idx="61">
                  <c:v>160</c:v>
                </c:pt>
                <c:pt idx="62">
                  <c:v>131</c:v>
                </c:pt>
                <c:pt idx="63">
                  <c:v>170</c:v>
                </c:pt>
                <c:pt idx="64">
                  <c:v>113</c:v>
                </c:pt>
                <c:pt idx="65">
                  <c:v>142</c:v>
                </c:pt>
                <c:pt idx="66">
                  <c:v>155</c:v>
                </c:pt>
                <c:pt idx="67">
                  <c:v>165</c:v>
                </c:pt>
                <c:pt idx="68">
                  <c:v>140</c:v>
                </c:pt>
                <c:pt idx="69">
                  <c:v>147</c:v>
                </c:pt>
                <c:pt idx="70">
                  <c:v>148</c:v>
                </c:pt>
                <c:pt idx="71">
                  <c:v>163</c:v>
                </c:pt>
                <c:pt idx="72">
                  <c:v>99</c:v>
                </c:pt>
                <c:pt idx="73">
                  <c:v>158</c:v>
                </c:pt>
                <c:pt idx="74">
                  <c:v>177</c:v>
                </c:pt>
                <c:pt idx="75">
                  <c:v>151</c:v>
                </c:pt>
                <c:pt idx="76">
                  <c:v>141</c:v>
                </c:pt>
                <c:pt idx="77">
                  <c:v>142</c:v>
                </c:pt>
                <c:pt idx="78">
                  <c:v>180</c:v>
                </c:pt>
                <c:pt idx="79">
                  <c:v>111</c:v>
                </c:pt>
                <c:pt idx="80">
                  <c:v>148</c:v>
                </c:pt>
                <c:pt idx="81">
                  <c:v>143</c:v>
                </c:pt>
                <c:pt idx="82">
                  <c:v>182</c:v>
                </c:pt>
                <c:pt idx="83">
                  <c:v>150</c:v>
                </c:pt>
                <c:pt idx="84">
                  <c:v>172</c:v>
                </c:pt>
                <c:pt idx="85">
                  <c:v>180</c:v>
                </c:pt>
                <c:pt idx="86">
                  <c:v>156</c:v>
                </c:pt>
                <c:pt idx="87">
                  <c:v>115</c:v>
                </c:pt>
                <c:pt idx="88">
                  <c:v>160</c:v>
                </c:pt>
                <c:pt idx="89">
                  <c:v>149</c:v>
                </c:pt>
                <c:pt idx="90">
                  <c:v>151</c:v>
                </c:pt>
                <c:pt idx="91">
                  <c:v>145</c:v>
                </c:pt>
                <c:pt idx="92">
                  <c:v>146</c:v>
                </c:pt>
                <c:pt idx="93">
                  <c:v>175</c:v>
                </c:pt>
                <c:pt idx="94">
                  <c:v>172</c:v>
                </c:pt>
                <c:pt idx="95">
                  <c:v>161</c:v>
                </c:pt>
                <c:pt idx="96">
                  <c:v>142</c:v>
                </c:pt>
                <c:pt idx="97">
                  <c:v>157</c:v>
                </c:pt>
                <c:pt idx="98">
                  <c:v>158</c:v>
                </c:pt>
                <c:pt idx="99">
                  <c:v>186</c:v>
                </c:pt>
                <c:pt idx="100">
                  <c:v>185</c:v>
                </c:pt>
                <c:pt idx="101">
                  <c:v>174</c:v>
                </c:pt>
                <c:pt idx="102">
                  <c:v>159</c:v>
                </c:pt>
                <c:pt idx="103">
                  <c:v>130</c:v>
                </c:pt>
                <c:pt idx="104">
                  <c:v>139</c:v>
                </c:pt>
                <c:pt idx="105">
                  <c:v>156</c:v>
                </c:pt>
                <c:pt idx="106">
                  <c:v>162</c:v>
                </c:pt>
                <c:pt idx="107">
                  <c:v>150</c:v>
                </c:pt>
                <c:pt idx="108">
                  <c:v>140</c:v>
                </c:pt>
                <c:pt idx="109">
                  <c:v>140</c:v>
                </c:pt>
                <c:pt idx="110">
                  <c:v>146</c:v>
                </c:pt>
                <c:pt idx="111">
                  <c:v>144</c:v>
                </c:pt>
                <c:pt idx="112">
                  <c:v>190</c:v>
                </c:pt>
                <c:pt idx="113">
                  <c:v>136</c:v>
                </c:pt>
                <c:pt idx="114">
                  <c:v>97</c:v>
                </c:pt>
                <c:pt idx="115">
                  <c:v>132</c:v>
                </c:pt>
                <c:pt idx="116">
                  <c:v>165</c:v>
                </c:pt>
                <c:pt idx="117">
                  <c:v>182</c:v>
                </c:pt>
                <c:pt idx="118">
                  <c:v>132</c:v>
                </c:pt>
                <c:pt idx="119">
                  <c:v>127</c:v>
                </c:pt>
                <c:pt idx="120">
                  <c:v>150</c:v>
                </c:pt>
                <c:pt idx="121">
                  <c:v>154</c:v>
                </c:pt>
                <c:pt idx="122">
                  <c:v>143</c:v>
                </c:pt>
                <c:pt idx="123">
                  <c:v>111</c:v>
                </c:pt>
                <c:pt idx="124">
                  <c:v>174</c:v>
                </c:pt>
                <c:pt idx="125">
                  <c:v>175</c:v>
                </c:pt>
                <c:pt idx="126">
                  <c:v>133</c:v>
                </c:pt>
                <c:pt idx="127">
                  <c:v>126</c:v>
                </c:pt>
                <c:pt idx="128">
                  <c:v>170</c:v>
                </c:pt>
                <c:pt idx="129">
                  <c:v>163</c:v>
                </c:pt>
                <c:pt idx="130">
                  <c:v>147</c:v>
                </c:pt>
                <c:pt idx="131">
                  <c:v>154</c:v>
                </c:pt>
                <c:pt idx="132">
                  <c:v>202</c:v>
                </c:pt>
                <c:pt idx="133">
                  <c:v>186</c:v>
                </c:pt>
                <c:pt idx="134">
                  <c:v>165</c:v>
                </c:pt>
                <c:pt idx="135">
                  <c:v>161</c:v>
                </c:pt>
                <c:pt idx="136">
                  <c:v>125</c:v>
                </c:pt>
                <c:pt idx="137">
                  <c:v>103</c:v>
                </c:pt>
                <c:pt idx="138">
                  <c:v>130</c:v>
                </c:pt>
                <c:pt idx="139">
                  <c:v>166</c:v>
                </c:pt>
                <c:pt idx="140">
                  <c:v>164</c:v>
                </c:pt>
                <c:pt idx="141">
                  <c:v>159</c:v>
                </c:pt>
                <c:pt idx="142">
                  <c:v>184</c:v>
                </c:pt>
                <c:pt idx="143">
                  <c:v>131</c:v>
                </c:pt>
                <c:pt idx="144">
                  <c:v>154</c:v>
                </c:pt>
                <c:pt idx="145">
                  <c:v>152</c:v>
                </c:pt>
                <c:pt idx="146">
                  <c:v>124</c:v>
                </c:pt>
                <c:pt idx="147">
                  <c:v>179</c:v>
                </c:pt>
                <c:pt idx="148">
                  <c:v>170</c:v>
                </c:pt>
                <c:pt idx="149">
                  <c:v>160</c:v>
                </c:pt>
                <c:pt idx="150">
                  <c:v>178</c:v>
                </c:pt>
                <c:pt idx="151">
                  <c:v>122</c:v>
                </c:pt>
                <c:pt idx="152">
                  <c:v>160</c:v>
                </c:pt>
                <c:pt idx="153">
                  <c:v>145</c:v>
                </c:pt>
                <c:pt idx="154">
                  <c:v>96</c:v>
                </c:pt>
                <c:pt idx="155">
                  <c:v>109</c:v>
                </c:pt>
                <c:pt idx="156">
                  <c:v>173</c:v>
                </c:pt>
                <c:pt idx="157">
                  <c:v>171</c:v>
                </c:pt>
                <c:pt idx="158">
                  <c:v>170</c:v>
                </c:pt>
                <c:pt idx="159">
                  <c:v>151</c:v>
                </c:pt>
                <c:pt idx="160">
                  <c:v>156</c:v>
                </c:pt>
                <c:pt idx="161">
                  <c:v>162</c:v>
                </c:pt>
                <c:pt idx="162">
                  <c:v>158</c:v>
                </c:pt>
                <c:pt idx="163">
                  <c:v>122</c:v>
                </c:pt>
                <c:pt idx="164">
                  <c:v>175</c:v>
                </c:pt>
                <c:pt idx="165">
                  <c:v>168</c:v>
                </c:pt>
                <c:pt idx="166">
                  <c:v>169</c:v>
                </c:pt>
                <c:pt idx="167">
                  <c:v>159</c:v>
                </c:pt>
                <c:pt idx="168">
                  <c:v>156</c:v>
                </c:pt>
                <c:pt idx="169">
                  <c:v>138</c:v>
                </c:pt>
                <c:pt idx="170">
                  <c:v>112</c:v>
                </c:pt>
                <c:pt idx="171">
                  <c:v>111</c:v>
                </c:pt>
                <c:pt idx="172">
                  <c:v>143</c:v>
                </c:pt>
                <c:pt idx="173">
                  <c:v>157</c:v>
                </c:pt>
                <c:pt idx="174">
                  <c:v>132</c:v>
                </c:pt>
                <c:pt idx="175">
                  <c:v>88</c:v>
                </c:pt>
                <c:pt idx="176">
                  <c:v>147</c:v>
                </c:pt>
                <c:pt idx="177">
                  <c:v>105</c:v>
                </c:pt>
                <c:pt idx="178">
                  <c:v>162</c:v>
                </c:pt>
                <c:pt idx="179">
                  <c:v>173</c:v>
                </c:pt>
                <c:pt idx="180">
                  <c:v>166</c:v>
                </c:pt>
                <c:pt idx="181">
                  <c:v>150</c:v>
                </c:pt>
                <c:pt idx="182">
                  <c:v>178</c:v>
                </c:pt>
                <c:pt idx="183">
                  <c:v>145</c:v>
                </c:pt>
                <c:pt idx="184">
                  <c:v>161</c:v>
                </c:pt>
                <c:pt idx="185">
                  <c:v>179</c:v>
                </c:pt>
                <c:pt idx="186">
                  <c:v>194</c:v>
                </c:pt>
                <c:pt idx="187">
                  <c:v>120</c:v>
                </c:pt>
                <c:pt idx="188">
                  <c:v>195</c:v>
                </c:pt>
                <c:pt idx="189">
                  <c:v>146</c:v>
                </c:pt>
                <c:pt idx="190">
                  <c:v>163</c:v>
                </c:pt>
                <c:pt idx="191">
                  <c:v>122</c:v>
                </c:pt>
                <c:pt idx="192">
                  <c:v>143</c:v>
                </c:pt>
                <c:pt idx="193">
                  <c:v>106</c:v>
                </c:pt>
                <c:pt idx="194">
                  <c:v>115</c:v>
                </c:pt>
                <c:pt idx="195">
                  <c:v>125</c:v>
                </c:pt>
                <c:pt idx="196">
                  <c:v>131</c:v>
                </c:pt>
                <c:pt idx="197">
                  <c:v>152</c:v>
                </c:pt>
                <c:pt idx="198">
                  <c:v>162</c:v>
                </c:pt>
                <c:pt idx="199">
                  <c:v>125</c:v>
                </c:pt>
                <c:pt idx="200">
                  <c:v>159</c:v>
                </c:pt>
                <c:pt idx="201">
                  <c:v>154</c:v>
                </c:pt>
                <c:pt idx="202">
                  <c:v>173</c:v>
                </c:pt>
                <c:pt idx="203">
                  <c:v>133</c:v>
                </c:pt>
                <c:pt idx="204">
                  <c:v>161</c:v>
                </c:pt>
                <c:pt idx="205">
                  <c:v>147</c:v>
                </c:pt>
                <c:pt idx="206">
                  <c:v>130</c:v>
                </c:pt>
                <c:pt idx="207">
                  <c:v>126</c:v>
                </c:pt>
                <c:pt idx="208">
                  <c:v>155</c:v>
                </c:pt>
                <c:pt idx="209">
                  <c:v>154</c:v>
                </c:pt>
                <c:pt idx="210">
                  <c:v>170</c:v>
                </c:pt>
                <c:pt idx="211">
                  <c:v>182</c:v>
                </c:pt>
                <c:pt idx="212">
                  <c:v>168</c:v>
                </c:pt>
                <c:pt idx="213">
                  <c:v>165</c:v>
                </c:pt>
                <c:pt idx="214">
                  <c:v>160</c:v>
                </c:pt>
                <c:pt idx="215">
                  <c:v>162</c:v>
                </c:pt>
                <c:pt idx="216">
                  <c:v>172</c:v>
                </c:pt>
                <c:pt idx="217">
                  <c:v>152</c:v>
                </c:pt>
                <c:pt idx="218">
                  <c:v>122</c:v>
                </c:pt>
                <c:pt idx="219">
                  <c:v>182</c:v>
                </c:pt>
                <c:pt idx="220">
                  <c:v>172</c:v>
                </c:pt>
                <c:pt idx="221">
                  <c:v>167</c:v>
                </c:pt>
                <c:pt idx="222">
                  <c:v>179</c:v>
                </c:pt>
                <c:pt idx="223">
                  <c:v>95</c:v>
                </c:pt>
                <c:pt idx="224">
                  <c:v>169</c:v>
                </c:pt>
                <c:pt idx="225">
                  <c:v>192</c:v>
                </c:pt>
                <c:pt idx="226">
                  <c:v>143</c:v>
                </c:pt>
                <c:pt idx="227">
                  <c:v>172</c:v>
                </c:pt>
                <c:pt idx="228">
                  <c:v>108</c:v>
                </c:pt>
                <c:pt idx="229">
                  <c:v>132</c:v>
                </c:pt>
                <c:pt idx="230">
                  <c:v>169</c:v>
                </c:pt>
                <c:pt idx="231">
                  <c:v>117</c:v>
                </c:pt>
                <c:pt idx="232">
                  <c:v>126</c:v>
                </c:pt>
                <c:pt idx="233">
                  <c:v>121</c:v>
                </c:pt>
                <c:pt idx="234">
                  <c:v>163</c:v>
                </c:pt>
                <c:pt idx="235">
                  <c:v>116</c:v>
                </c:pt>
                <c:pt idx="236">
                  <c:v>103</c:v>
                </c:pt>
                <c:pt idx="237">
                  <c:v>144</c:v>
                </c:pt>
                <c:pt idx="238">
                  <c:v>162</c:v>
                </c:pt>
                <c:pt idx="239">
                  <c:v>162</c:v>
                </c:pt>
                <c:pt idx="240">
                  <c:v>153</c:v>
                </c:pt>
                <c:pt idx="241">
                  <c:v>163</c:v>
                </c:pt>
                <c:pt idx="242">
                  <c:v>163</c:v>
                </c:pt>
                <c:pt idx="243">
                  <c:v>145</c:v>
                </c:pt>
                <c:pt idx="244">
                  <c:v>96</c:v>
                </c:pt>
                <c:pt idx="245">
                  <c:v>84.75</c:v>
                </c:pt>
                <c:pt idx="246">
                  <c:v>156</c:v>
                </c:pt>
                <c:pt idx="247">
                  <c:v>118</c:v>
                </c:pt>
                <c:pt idx="248">
                  <c:v>168</c:v>
                </c:pt>
                <c:pt idx="249">
                  <c:v>140</c:v>
                </c:pt>
                <c:pt idx="250">
                  <c:v>126</c:v>
                </c:pt>
                <c:pt idx="251">
                  <c:v>105</c:v>
                </c:pt>
                <c:pt idx="252">
                  <c:v>105</c:v>
                </c:pt>
                <c:pt idx="253">
                  <c:v>157</c:v>
                </c:pt>
                <c:pt idx="254">
                  <c:v>181</c:v>
                </c:pt>
                <c:pt idx="255">
                  <c:v>173</c:v>
                </c:pt>
                <c:pt idx="256">
                  <c:v>142</c:v>
                </c:pt>
                <c:pt idx="257">
                  <c:v>116</c:v>
                </c:pt>
                <c:pt idx="258">
                  <c:v>143</c:v>
                </c:pt>
                <c:pt idx="259">
                  <c:v>141</c:v>
                </c:pt>
                <c:pt idx="260">
                  <c:v>149</c:v>
                </c:pt>
                <c:pt idx="261">
                  <c:v>152</c:v>
                </c:pt>
                <c:pt idx="262">
                  <c:v>171</c:v>
                </c:pt>
                <c:pt idx="263">
                  <c:v>169</c:v>
                </c:pt>
                <c:pt idx="264">
                  <c:v>125</c:v>
                </c:pt>
                <c:pt idx="265">
                  <c:v>125</c:v>
                </c:pt>
                <c:pt idx="266">
                  <c:v>156</c:v>
                </c:pt>
                <c:pt idx="267">
                  <c:v>134</c:v>
                </c:pt>
                <c:pt idx="268">
                  <c:v>181</c:v>
                </c:pt>
                <c:pt idx="269">
                  <c:v>150</c:v>
                </c:pt>
                <c:pt idx="270">
                  <c:v>138</c:v>
                </c:pt>
                <c:pt idx="271">
                  <c:v>138</c:v>
                </c:pt>
                <c:pt idx="272">
                  <c:v>120</c:v>
                </c:pt>
                <c:pt idx="273">
                  <c:v>125</c:v>
                </c:pt>
                <c:pt idx="274">
                  <c:v>162</c:v>
                </c:pt>
                <c:pt idx="275">
                  <c:v>155</c:v>
                </c:pt>
                <c:pt idx="276">
                  <c:v>152</c:v>
                </c:pt>
                <c:pt idx="277">
                  <c:v>152</c:v>
                </c:pt>
                <c:pt idx="278">
                  <c:v>164</c:v>
                </c:pt>
                <c:pt idx="279">
                  <c:v>131</c:v>
                </c:pt>
                <c:pt idx="280">
                  <c:v>143</c:v>
                </c:pt>
                <c:pt idx="281">
                  <c:v>179</c:v>
                </c:pt>
                <c:pt idx="282">
                  <c:v>130</c:v>
                </c:pt>
                <c:pt idx="283">
                  <c:v>174</c:v>
                </c:pt>
                <c:pt idx="284">
                  <c:v>161</c:v>
                </c:pt>
                <c:pt idx="285">
                  <c:v>140</c:v>
                </c:pt>
                <c:pt idx="286">
                  <c:v>146</c:v>
                </c:pt>
                <c:pt idx="287">
                  <c:v>144</c:v>
                </c:pt>
                <c:pt idx="288">
                  <c:v>163</c:v>
                </c:pt>
                <c:pt idx="289">
                  <c:v>169</c:v>
                </c:pt>
                <c:pt idx="290">
                  <c:v>150</c:v>
                </c:pt>
                <c:pt idx="291">
                  <c:v>166</c:v>
                </c:pt>
                <c:pt idx="292">
                  <c:v>144</c:v>
                </c:pt>
                <c:pt idx="293">
                  <c:v>144</c:v>
                </c:pt>
                <c:pt idx="294">
                  <c:v>136</c:v>
                </c:pt>
                <c:pt idx="295">
                  <c:v>182</c:v>
                </c:pt>
                <c:pt idx="296">
                  <c:v>90</c:v>
                </c:pt>
                <c:pt idx="297">
                  <c:v>123</c:v>
                </c:pt>
                <c:pt idx="298">
                  <c:v>132</c:v>
                </c:pt>
                <c:pt idx="299">
                  <c:v>141</c:v>
                </c:pt>
                <c:pt idx="300">
                  <c:v>115</c:v>
                </c:pt>
                <c:pt idx="301">
                  <c:v>174</c:v>
                </c:pt>
                <c:pt idx="302">
                  <c:v>173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Age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Maximum heart rate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Appliances Energy - Daily Mean Consumption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mean</c:v>
          </c:tx>
          <c:spPr>
            <a:ln w="19050">
              <a:solidFill>
                <a:srgbClr val="4E79A7"/>
              </a:solidFill>
            </a:ln>
          </c:spPr>
          <c:marker>
            <c:symbol val="none"/>
          </c:marker>
          <c:cat>
            <c:numRef>
              <c:f>'Appliances Daily'!$A$2:$A$139</c:f>
              <c:numCache>
                <c:formatCode>General</c:formatCode>
                <c:ptCount val="138"/>
                <c:pt idx="0">
                  <c:v>42380</c:v>
                </c:pt>
                <c:pt idx="1">
                  <c:v>42381</c:v>
                </c:pt>
                <c:pt idx="2">
                  <c:v>42382</c:v>
                </c:pt>
                <c:pt idx="3">
                  <c:v>42383</c:v>
                </c:pt>
                <c:pt idx="4">
                  <c:v>42384</c:v>
                </c:pt>
                <c:pt idx="5">
                  <c:v>42385</c:v>
                </c:pt>
                <c:pt idx="6">
                  <c:v>42386</c:v>
                </c:pt>
                <c:pt idx="7">
                  <c:v>42387</c:v>
                </c:pt>
                <c:pt idx="8">
                  <c:v>42388</c:v>
                </c:pt>
                <c:pt idx="9">
                  <c:v>42389</c:v>
                </c:pt>
                <c:pt idx="10">
                  <c:v>42390</c:v>
                </c:pt>
                <c:pt idx="11">
                  <c:v>42391</c:v>
                </c:pt>
                <c:pt idx="12">
                  <c:v>42392</c:v>
                </c:pt>
                <c:pt idx="13">
                  <c:v>42393</c:v>
                </c:pt>
                <c:pt idx="14">
                  <c:v>42394</c:v>
                </c:pt>
                <c:pt idx="15">
                  <c:v>42395</c:v>
                </c:pt>
                <c:pt idx="16">
                  <c:v>42396</c:v>
                </c:pt>
                <c:pt idx="17">
                  <c:v>42397</c:v>
                </c:pt>
                <c:pt idx="18">
                  <c:v>42398</c:v>
                </c:pt>
                <c:pt idx="19">
                  <c:v>42399</c:v>
                </c:pt>
                <c:pt idx="20">
                  <c:v>42400</c:v>
                </c:pt>
                <c:pt idx="21">
                  <c:v>42401</c:v>
                </c:pt>
                <c:pt idx="22">
                  <c:v>42402</c:v>
                </c:pt>
                <c:pt idx="23">
                  <c:v>42403</c:v>
                </c:pt>
                <c:pt idx="24">
                  <c:v>42404</c:v>
                </c:pt>
                <c:pt idx="25">
                  <c:v>42405</c:v>
                </c:pt>
                <c:pt idx="26">
                  <c:v>42406</c:v>
                </c:pt>
                <c:pt idx="27">
                  <c:v>42407</c:v>
                </c:pt>
                <c:pt idx="28">
                  <c:v>42408</c:v>
                </c:pt>
                <c:pt idx="29">
                  <c:v>42409</c:v>
                </c:pt>
                <c:pt idx="30">
                  <c:v>42410</c:v>
                </c:pt>
                <c:pt idx="31">
                  <c:v>42411</c:v>
                </c:pt>
                <c:pt idx="32">
                  <c:v>42412</c:v>
                </c:pt>
                <c:pt idx="33">
                  <c:v>42413</c:v>
                </c:pt>
                <c:pt idx="34">
                  <c:v>42414</c:v>
                </c:pt>
                <c:pt idx="35">
                  <c:v>42415</c:v>
                </c:pt>
                <c:pt idx="36">
                  <c:v>42416</c:v>
                </c:pt>
                <c:pt idx="37">
                  <c:v>42417</c:v>
                </c:pt>
                <c:pt idx="38">
                  <c:v>42418</c:v>
                </c:pt>
                <c:pt idx="39">
                  <c:v>42419</c:v>
                </c:pt>
                <c:pt idx="40">
                  <c:v>42420</c:v>
                </c:pt>
                <c:pt idx="41">
                  <c:v>42421</c:v>
                </c:pt>
                <c:pt idx="42">
                  <c:v>42422</c:v>
                </c:pt>
                <c:pt idx="43">
                  <c:v>42423</c:v>
                </c:pt>
                <c:pt idx="44">
                  <c:v>42424</c:v>
                </c:pt>
                <c:pt idx="45">
                  <c:v>42425</c:v>
                </c:pt>
                <c:pt idx="46">
                  <c:v>42426</c:v>
                </c:pt>
                <c:pt idx="47">
                  <c:v>42427</c:v>
                </c:pt>
                <c:pt idx="48">
                  <c:v>42428</c:v>
                </c:pt>
                <c:pt idx="49">
                  <c:v>42429</c:v>
                </c:pt>
                <c:pt idx="50">
                  <c:v>42430</c:v>
                </c:pt>
                <c:pt idx="51">
                  <c:v>42431</c:v>
                </c:pt>
                <c:pt idx="52">
                  <c:v>42432</c:v>
                </c:pt>
                <c:pt idx="53">
                  <c:v>42433</c:v>
                </c:pt>
                <c:pt idx="54">
                  <c:v>42434</c:v>
                </c:pt>
                <c:pt idx="55">
                  <c:v>42435</c:v>
                </c:pt>
                <c:pt idx="56">
                  <c:v>42436</c:v>
                </c:pt>
                <c:pt idx="57">
                  <c:v>42437</c:v>
                </c:pt>
                <c:pt idx="58">
                  <c:v>42438</c:v>
                </c:pt>
                <c:pt idx="59">
                  <c:v>42439</c:v>
                </c:pt>
                <c:pt idx="60">
                  <c:v>42440</c:v>
                </c:pt>
                <c:pt idx="61">
                  <c:v>42441</c:v>
                </c:pt>
                <c:pt idx="62">
                  <c:v>42442</c:v>
                </c:pt>
                <c:pt idx="63">
                  <c:v>42443</c:v>
                </c:pt>
                <c:pt idx="64">
                  <c:v>42444</c:v>
                </c:pt>
                <c:pt idx="65">
                  <c:v>42445</c:v>
                </c:pt>
                <c:pt idx="66">
                  <c:v>42446</c:v>
                </c:pt>
                <c:pt idx="67">
                  <c:v>42447</c:v>
                </c:pt>
                <c:pt idx="68">
                  <c:v>42448</c:v>
                </c:pt>
                <c:pt idx="69">
                  <c:v>42449</c:v>
                </c:pt>
                <c:pt idx="70">
                  <c:v>42450</c:v>
                </c:pt>
                <c:pt idx="71">
                  <c:v>42451</c:v>
                </c:pt>
                <c:pt idx="72">
                  <c:v>42452</c:v>
                </c:pt>
                <c:pt idx="73">
                  <c:v>42453</c:v>
                </c:pt>
                <c:pt idx="74">
                  <c:v>42454</c:v>
                </c:pt>
                <c:pt idx="75">
                  <c:v>42455</c:v>
                </c:pt>
                <c:pt idx="76">
                  <c:v>42456</c:v>
                </c:pt>
                <c:pt idx="77">
                  <c:v>42457</c:v>
                </c:pt>
                <c:pt idx="78">
                  <c:v>42458</c:v>
                </c:pt>
                <c:pt idx="79">
                  <c:v>42459</c:v>
                </c:pt>
                <c:pt idx="80">
                  <c:v>42460</c:v>
                </c:pt>
                <c:pt idx="81">
                  <c:v>42461</c:v>
                </c:pt>
                <c:pt idx="82">
                  <c:v>42462</c:v>
                </c:pt>
                <c:pt idx="83">
                  <c:v>42463</c:v>
                </c:pt>
                <c:pt idx="84">
                  <c:v>42464</c:v>
                </c:pt>
                <c:pt idx="85">
                  <c:v>42465</c:v>
                </c:pt>
                <c:pt idx="86">
                  <c:v>42466</c:v>
                </c:pt>
                <c:pt idx="87">
                  <c:v>42467</c:v>
                </c:pt>
                <c:pt idx="88">
                  <c:v>42468</c:v>
                </c:pt>
                <c:pt idx="89">
                  <c:v>42469</c:v>
                </c:pt>
                <c:pt idx="90">
                  <c:v>42470</c:v>
                </c:pt>
                <c:pt idx="91">
                  <c:v>42471</c:v>
                </c:pt>
                <c:pt idx="92">
                  <c:v>42472</c:v>
                </c:pt>
                <c:pt idx="93">
                  <c:v>42473</c:v>
                </c:pt>
                <c:pt idx="94">
                  <c:v>42474</c:v>
                </c:pt>
                <c:pt idx="95">
                  <c:v>42475</c:v>
                </c:pt>
                <c:pt idx="96">
                  <c:v>42476</c:v>
                </c:pt>
                <c:pt idx="97">
                  <c:v>42477</c:v>
                </c:pt>
                <c:pt idx="98">
                  <c:v>42478</c:v>
                </c:pt>
                <c:pt idx="99">
                  <c:v>42479</c:v>
                </c:pt>
                <c:pt idx="100">
                  <c:v>42480</c:v>
                </c:pt>
                <c:pt idx="101">
                  <c:v>42481</c:v>
                </c:pt>
                <c:pt idx="102">
                  <c:v>42482</c:v>
                </c:pt>
                <c:pt idx="103">
                  <c:v>42483</c:v>
                </c:pt>
                <c:pt idx="104">
                  <c:v>42484</c:v>
                </c:pt>
                <c:pt idx="105">
                  <c:v>42485</c:v>
                </c:pt>
                <c:pt idx="106">
                  <c:v>42486</c:v>
                </c:pt>
                <c:pt idx="107">
                  <c:v>42487</c:v>
                </c:pt>
                <c:pt idx="108">
                  <c:v>42488</c:v>
                </c:pt>
                <c:pt idx="109">
                  <c:v>42489</c:v>
                </c:pt>
                <c:pt idx="110">
                  <c:v>42490</c:v>
                </c:pt>
                <c:pt idx="111">
                  <c:v>42491</c:v>
                </c:pt>
                <c:pt idx="112">
                  <c:v>42492</c:v>
                </c:pt>
                <c:pt idx="113">
                  <c:v>42493</c:v>
                </c:pt>
                <c:pt idx="114">
                  <c:v>42494</c:v>
                </c:pt>
                <c:pt idx="115">
                  <c:v>42495</c:v>
                </c:pt>
                <c:pt idx="116">
                  <c:v>42496</c:v>
                </c:pt>
                <c:pt idx="117">
                  <c:v>42497</c:v>
                </c:pt>
                <c:pt idx="118">
                  <c:v>42498</c:v>
                </c:pt>
                <c:pt idx="119">
                  <c:v>42499</c:v>
                </c:pt>
                <c:pt idx="120">
                  <c:v>42500</c:v>
                </c:pt>
                <c:pt idx="121">
                  <c:v>42501</c:v>
                </c:pt>
                <c:pt idx="122">
                  <c:v>42502</c:v>
                </c:pt>
                <c:pt idx="123">
                  <c:v>42503</c:v>
                </c:pt>
                <c:pt idx="124">
                  <c:v>42504</c:v>
                </c:pt>
                <c:pt idx="125">
                  <c:v>42505</c:v>
                </c:pt>
                <c:pt idx="126">
                  <c:v>42506</c:v>
                </c:pt>
                <c:pt idx="127">
                  <c:v>42507</c:v>
                </c:pt>
                <c:pt idx="128">
                  <c:v>42508</c:v>
                </c:pt>
                <c:pt idx="129">
                  <c:v>42509</c:v>
                </c:pt>
                <c:pt idx="130">
                  <c:v>42510</c:v>
                </c:pt>
                <c:pt idx="131">
                  <c:v>42511</c:v>
                </c:pt>
                <c:pt idx="132">
                  <c:v>42512</c:v>
                </c:pt>
                <c:pt idx="133">
                  <c:v>42513</c:v>
                </c:pt>
                <c:pt idx="134">
                  <c:v>42514</c:v>
                </c:pt>
                <c:pt idx="135">
                  <c:v>42515</c:v>
                </c:pt>
                <c:pt idx="136">
                  <c:v>42516</c:v>
                </c:pt>
                <c:pt idx="137">
                  <c:v>42517</c:v>
                </c:pt>
              </c:numCache>
            </c:numRef>
          </c:cat>
          <c:val>
            <c:numRef>
              <c:f>'Appliances Daily'!$B$2:$B$139</c:f>
              <c:numCache>
                <c:formatCode>General</c:formatCode>
                <c:ptCount val="138"/>
                <c:pt idx="0">
                  <c:v>136.6666666666667</c:v>
                </c:pt>
                <c:pt idx="1">
                  <c:v>85.69444444444444</c:v>
                </c:pt>
                <c:pt idx="2">
                  <c:v>97.01388888888889</c:v>
                </c:pt>
                <c:pt idx="3">
                  <c:v>151.3888888888889</c:v>
                </c:pt>
                <c:pt idx="4">
                  <c:v>125.3472222222222</c:v>
                </c:pt>
                <c:pt idx="5">
                  <c:v>125.2777777777778</c:v>
                </c:pt>
                <c:pt idx="6">
                  <c:v>142.7083333333333</c:v>
                </c:pt>
                <c:pt idx="7">
                  <c:v>93.95833333333333</c:v>
                </c:pt>
                <c:pt idx="8">
                  <c:v>83.26388888888889</c:v>
                </c:pt>
                <c:pt idx="9">
                  <c:v>114.4444444444444</c:v>
                </c:pt>
                <c:pt idx="10">
                  <c:v>92.63888888888889</c:v>
                </c:pt>
                <c:pt idx="11">
                  <c:v>45.69444444444444</c:v>
                </c:pt>
                <c:pt idx="12">
                  <c:v>93.05555555555556</c:v>
                </c:pt>
                <c:pt idx="13">
                  <c:v>150.2777777777778</c:v>
                </c:pt>
                <c:pt idx="14">
                  <c:v>65.76388888888889</c:v>
                </c:pt>
                <c:pt idx="15">
                  <c:v>71.31944444444444</c:v>
                </c:pt>
                <c:pt idx="16">
                  <c:v>45.625</c:v>
                </c:pt>
                <c:pt idx="17">
                  <c:v>37.5</c:v>
                </c:pt>
                <c:pt idx="18">
                  <c:v>48.05555555555556</c:v>
                </c:pt>
                <c:pt idx="19">
                  <c:v>130.4861111111111</c:v>
                </c:pt>
                <c:pt idx="20">
                  <c:v>129.4444444444445</c:v>
                </c:pt>
                <c:pt idx="21">
                  <c:v>155.9027777777778</c:v>
                </c:pt>
                <c:pt idx="22">
                  <c:v>77.91666666666667</c:v>
                </c:pt>
                <c:pt idx="23">
                  <c:v>132.9166666666667</c:v>
                </c:pt>
                <c:pt idx="24">
                  <c:v>100.3472222222222</c:v>
                </c:pt>
                <c:pt idx="25">
                  <c:v>62.56944444444444</c:v>
                </c:pt>
                <c:pt idx="26">
                  <c:v>83.19444444444444</c:v>
                </c:pt>
                <c:pt idx="27">
                  <c:v>79.375</c:v>
                </c:pt>
                <c:pt idx="28">
                  <c:v>147.3611111111111</c:v>
                </c:pt>
                <c:pt idx="29">
                  <c:v>125.7638888888889</c:v>
                </c:pt>
                <c:pt idx="30">
                  <c:v>96.38888888888889</c:v>
                </c:pt>
                <c:pt idx="31">
                  <c:v>106.25</c:v>
                </c:pt>
                <c:pt idx="32">
                  <c:v>117.8472222222222</c:v>
                </c:pt>
                <c:pt idx="33">
                  <c:v>96.11111111111111</c:v>
                </c:pt>
                <c:pt idx="34">
                  <c:v>102.4305555555556</c:v>
                </c:pt>
                <c:pt idx="35">
                  <c:v>117.7083333333333</c:v>
                </c:pt>
                <c:pt idx="36">
                  <c:v>93.19444444444444</c:v>
                </c:pt>
                <c:pt idx="37">
                  <c:v>66.80555555555556</c:v>
                </c:pt>
                <c:pt idx="38">
                  <c:v>83.75</c:v>
                </c:pt>
                <c:pt idx="39">
                  <c:v>119.0972222222222</c:v>
                </c:pt>
                <c:pt idx="40">
                  <c:v>100.7638888888889</c:v>
                </c:pt>
                <c:pt idx="41">
                  <c:v>88.61111111111111</c:v>
                </c:pt>
                <c:pt idx="42">
                  <c:v>93.40277777777777</c:v>
                </c:pt>
                <c:pt idx="43">
                  <c:v>88.68055555555556</c:v>
                </c:pt>
                <c:pt idx="44">
                  <c:v>77.98611111111111</c:v>
                </c:pt>
                <c:pt idx="45">
                  <c:v>125.0694444444444</c:v>
                </c:pt>
                <c:pt idx="46">
                  <c:v>94.09722222222223</c:v>
                </c:pt>
                <c:pt idx="47">
                  <c:v>83.26388888888889</c:v>
                </c:pt>
                <c:pt idx="48">
                  <c:v>53.47222222222222</c:v>
                </c:pt>
                <c:pt idx="49">
                  <c:v>157.1527777777778</c:v>
                </c:pt>
                <c:pt idx="50">
                  <c:v>72.36111111111111</c:v>
                </c:pt>
                <c:pt idx="51">
                  <c:v>92.77777777777777</c:v>
                </c:pt>
                <c:pt idx="52">
                  <c:v>82.01388888888889</c:v>
                </c:pt>
                <c:pt idx="53">
                  <c:v>95.34722222222223</c:v>
                </c:pt>
                <c:pt idx="54">
                  <c:v>91.38888888888889</c:v>
                </c:pt>
                <c:pt idx="55">
                  <c:v>89.72222222222223</c:v>
                </c:pt>
                <c:pt idx="56">
                  <c:v>142.6388888888889</c:v>
                </c:pt>
                <c:pt idx="57">
                  <c:v>74.79166666666667</c:v>
                </c:pt>
                <c:pt idx="58">
                  <c:v>86.80555555555556</c:v>
                </c:pt>
                <c:pt idx="59">
                  <c:v>92.91666666666667</c:v>
                </c:pt>
                <c:pt idx="60">
                  <c:v>71.04166666666667</c:v>
                </c:pt>
                <c:pt idx="61">
                  <c:v>98.61111111111111</c:v>
                </c:pt>
                <c:pt idx="62">
                  <c:v>67.91666666666667</c:v>
                </c:pt>
                <c:pt idx="63">
                  <c:v>164.0277777777778</c:v>
                </c:pt>
                <c:pt idx="64">
                  <c:v>97.29166666666667</c:v>
                </c:pt>
                <c:pt idx="65">
                  <c:v>158.4027777777778</c:v>
                </c:pt>
                <c:pt idx="66">
                  <c:v>86.875</c:v>
                </c:pt>
                <c:pt idx="67">
                  <c:v>62.63888888888889</c:v>
                </c:pt>
                <c:pt idx="68">
                  <c:v>113.6805555555556</c:v>
                </c:pt>
                <c:pt idx="69">
                  <c:v>112.1527777777778</c:v>
                </c:pt>
                <c:pt idx="70">
                  <c:v>77.77777777777777</c:v>
                </c:pt>
                <c:pt idx="71">
                  <c:v>71.11111111111111</c:v>
                </c:pt>
                <c:pt idx="72">
                  <c:v>85.06944444444444</c:v>
                </c:pt>
                <c:pt idx="73">
                  <c:v>70.13888888888889</c:v>
                </c:pt>
                <c:pt idx="74">
                  <c:v>180.4166666666667</c:v>
                </c:pt>
                <c:pt idx="75">
                  <c:v>108.9583333333333</c:v>
                </c:pt>
                <c:pt idx="76">
                  <c:v>73.05555555555556</c:v>
                </c:pt>
                <c:pt idx="77">
                  <c:v>127.2916666666667</c:v>
                </c:pt>
                <c:pt idx="78">
                  <c:v>91.45833333333333</c:v>
                </c:pt>
                <c:pt idx="79">
                  <c:v>87.70833333333333</c:v>
                </c:pt>
                <c:pt idx="80">
                  <c:v>79.16666666666667</c:v>
                </c:pt>
                <c:pt idx="81">
                  <c:v>59.58333333333334</c:v>
                </c:pt>
                <c:pt idx="82">
                  <c:v>50.69444444444444</c:v>
                </c:pt>
                <c:pt idx="83">
                  <c:v>71.80555555555556</c:v>
                </c:pt>
                <c:pt idx="84">
                  <c:v>188.5416666666667</c:v>
                </c:pt>
                <c:pt idx="85">
                  <c:v>154.8611111111111</c:v>
                </c:pt>
                <c:pt idx="86">
                  <c:v>87.56944444444444</c:v>
                </c:pt>
                <c:pt idx="87">
                  <c:v>68.81944444444444</c:v>
                </c:pt>
                <c:pt idx="88">
                  <c:v>134.4444444444445</c:v>
                </c:pt>
                <c:pt idx="89">
                  <c:v>105.2083333333333</c:v>
                </c:pt>
                <c:pt idx="90">
                  <c:v>74.16666666666667</c:v>
                </c:pt>
                <c:pt idx="91">
                  <c:v>77.84722222222223</c:v>
                </c:pt>
                <c:pt idx="92">
                  <c:v>110.4166666666667</c:v>
                </c:pt>
                <c:pt idx="93">
                  <c:v>94.23611111111111</c:v>
                </c:pt>
                <c:pt idx="94">
                  <c:v>85.76388888888889</c:v>
                </c:pt>
                <c:pt idx="95">
                  <c:v>131.3888888888889</c:v>
                </c:pt>
                <c:pt idx="96">
                  <c:v>134.1666666666667</c:v>
                </c:pt>
                <c:pt idx="97">
                  <c:v>105.9027777777778</c:v>
                </c:pt>
                <c:pt idx="98">
                  <c:v>71.80555555555556</c:v>
                </c:pt>
                <c:pt idx="99">
                  <c:v>72.43055555555556</c:v>
                </c:pt>
                <c:pt idx="100">
                  <c:v>80.625</c:v>
                </c:pt>
                <c:pt idx="101">
                  <c:v>76.875</c:v>
                </c:pt>
                <c:pt idx="102">
                  <c:v>170.625</c:v>
                </c:pt>
                <c:pt idx="103">
                  <c:v>105</c:v>
                </c:pt>
                <c:pt idx="104">
                  <c:v>81.80555555555556</c:v>
                </c:pt>
                <c:pt idx="105">
                  <c:v>75.13888888888889</c:v>
                </c:pt>
                <c:pt idx="106">
                  <c:v>74.02777777777777</c:v>
                </c:pt>
                <c:pt idx="107">
                  <c:v>75.06944444444444</c:v>
                </c:pt>
                <c:pt idx="108">
                  <c:v>95.90277777777777</c:v>
                </c:pt>
                <c:pt idx="109">
                  <c:v>111.5277777777778</c:v>
                </c:pt>
                <c:pt idx="110">
                  <c:v>140.4166666666667</c:v>
                </c:pt>
                <c:pt idx="111">
                  <c:v>97.84722222222223</c:v>
                </c:pt>
                <c:pt idx="112">
                  <c:v>85.625</c:v>
                </c:pt>
                <c:pt idx="113">
                  <c:v>69.72222222222223</c:v>
                </c:pt>
                <c:pt idx="114">
                  <c:v>78.95833333333333</c:v>
                </c:pt>
                <c:pt idx="115">
                  <c:v>84.02777777777777</c:v>
                </c:pt>
                <c:pt idx="116">
                  <c:v>100.7638888888889</c:v>
                </c:pt>
                <c:pt idx="117">
                  <c:v>97.15277777777777</c:v>
                </c:pt>
                <c:pt idx="118">
                  <c:v>68.54166666666667</c:v>
                </c:pt>
                <c:pt idx="119">
                  <c:v>85.06944444444444</c:v>
                </c:pt>
                <c:pt idx="120">
                  <c:v>65.97222222222223</c:v>
                </c:pt>
                <c:pt idx="121">
                  <c:v>74.09722222222223</c:v>
                </c:pt>
                <c:pt idx="122">
                  <c:v>72.22222222222223</c:v>
                </c:pt>
                <c:pt idx="123">
                  <c:v>168.6111111111111</c:v>
                </c:pt>
                <c:pt idx="124">
                  <c:v>99.58333333333333</c:v>
                </c:pt>
                <c:pt idx="125">
                  <c:v>104.0277777777778</c:v>
                </c:pt>
                <c:pt idx="126">
                  <c:v>100.1388888888889</c:v>
                </c:pt>
                <c:pt idx="127">
                  <c:v>66.04166666666667</c:v>
                </c:pt>
                <c:pt idx="128">
                  <c:v>82.22222222222223</c:v>
                </c:pt>
                <c:pt idx="129">
                  <c:v>70</c:v>
                </c:pt>
                <c:pt idx="130">
                  <c:v>64.72222222222223</c:v>
                </c:pt>
                <c:pt idx="131">
                  <c:v>161.6666666666667</c:v>
                </c:pt>
                <c:pt idx="132">
                  <c:v>110.1388888888889</c:v>
                </c:pt>
                <c:pt idx="133">
                  <c:v>83.05555555555556</c:v>
                </c:pt>
                <c:pt idx="134">
                  <c:v>96.18055555555556</c:v>
                </c:pt>
                <c:pt idx="135">
                  <c:v>83.88888888888889</c:v>
                </c:pt>
                <c:pt idx="136">
                  <c:v>147.0138888888889</c:v>
                </c:pt>
                <c:pt idx="137">
                  <c:v>136.3302752293578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Mean Appliances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Appliances - Raw Distribution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Raw count</c:v>
          </c:tx>
          <c:spPr>
            <a:solidFill>
              <a:srgbClr val="4E79A7"/>
            </a:solidFill>
          </c:spPr>
          <c:cat>
            <c:numRef>
              <c:f>'Appliances Histogram'!$A$2:$A$21</c:f>
              <c:numCache>
                <c:formatCode>General</c:formatCode>
                <c:ptCount val="20"/>
                <c:pt idx="0">
                  <c:v>38.25</c:v>
                </c:pt>
                <c:pt idx="1">
                  <c:v>74.75</c:v>
                </c:pt>
                <c:pt idx="2">
                  <c:v>111.25</c:v>
                </c:pt>
                <c:pt idx="3">
                  <c:v>147.75</c:v>
                </c:pt>
                <c:pt idx="4">
                  <c:v>184.25</c:v>
                </c:pt>
                <c:pt idx="5">
                  <c:v>220.75</c:v>
                </c:pt>
                <c:pt idx="6">
                  <c:v>257.25</c:v>
                </c:pt>
                <c:pt idx="7">
                  <c:v>293.75</c:v>
                </c:pt>
                <c:pt idx="8">
                  <c:v>330.25</c:v>
                </c:pt>
                <c:pt idx="9">
                  <c:v>366.75</c:v>
                </c:pt>
                <c:pt idx="10">
                  <c:v>403.25</c:v>
                </c:pt>
                <c:pt idx="11">
                  <c:v>439.75</c:v>
                </c:pt>
                <c:pt idx="12">
                  <c:v>476.25</c:v>
                </c:pt>
                <c:pt idx="13">
                  <c:v>512.75</c:v>
                </c:pt>
                <c:pt idx="14">
                  <c:v>549.25</c:v>
                </c:pt>
                <c:pt idx="15">
                  <c:v>585.75</c:v>
                </c:pt>
                <c:pt idx="16">
                  <c:v>622.25</c:v>
                </c:pt>
                <c:pt idx="17">
                  <c:v>658.75</c:v>
                </c:pt>
                <c:pt idx="18">
                  <c:v>695.25</c:v>
                </c:pt>
                <c:pt idx="19">
                  <c:v>731.75</c:v>
                </c:pt>
              </c:numCache>
            </c:numRef>
          </c:cat>
          <c:val>
            <c:numRef>
              <c:f>'Appliances Histogram'!$B$2:$B$21</c:f>
              <c:numCache>
                <c:formatCode>General</c:formatCode>
                <c:ptCount val="20"/>
                <c:pt idx="0">
                  <c:v>393</c:v>
                </c:pt>
                <c:pt idx="1">
                  <c:v>343</c:v>
                </c:pt>
                <c:pt idx="2">
                  <c:v>123</c:v>
                </c:pt>
                <c:pt idx="3">
                  <c:v>38</c:v>
                </c:pt>
                <c:pt idx="4">
                  <c:v>15</c:v>
                </c:pt>
                <c:pt idx="5">
                  <c:v>11</c:v>
                </c:pt>
                <c:pt idx="6">
                  <c:v>21</c:v>
                </c:pt>
                <c:pt idx="7">
                  <c:v>14</c:v>
                </c:pt>
                <c:pt idx="8">
                  <c:v>5</c:v>
                </c:pt>
                <c:pt idx="9">
                  <c:v>6</c:v>
                </c:pt>
                <c:pt idx="10">
                  <c:v>15</c:v>
                </c:pt>
                <c:pt idx="11">
                  <c:v>5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Raw bin midpoint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Appliances - log1p Distribution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log1p count</c:v>
          </c:tx>
          <c:spPr>
            <a:solidFill>
              <a:srgbClr val="F28E2B"/>
            </a:solidFill>
          </c:spPr>
          <c:cat>
            <c:numRef>
              <c:f>'Appliances Histogram'!$C$2:$C$21</c:f>
              <c:numCache>
                <c:formatCode>General</c:formatCode>
                <c:ptCount val="20"/>
                <c:pt idx="0">
                  <c:v>3.133944518074441</c:v>
                </c:pt>
                <c:pt idx="1">
                  <c:v>3.312788678776476</c:v>
                </c:pt>
                <c:pt idx="2">
                  <c:v>3.491632839478512</c:v>
                </c:pt>
                <c:pt idx="3">
                  <c:v>3.670477000180548</c:v>
                </c:pt>
                <c:pt idx="4">
                  <c:v>3.849321160882583</c:v>
                </c:pt>
                <c:pt idx="5">
                  <c:v>4.028165321584618</c:v>
                </c:pt>
                <c:pt idx="6">
                  <c:v>4.207009482286654</c:v>
                </c:pt>
                <c:pt idx="7">
                  <c:v>4.38585364298869</c:v>
                </c:pt>
                <c:pt idx="8">
                  <c:v>4.564697803690725</c:v>
                </c:pt>
                <c:pt idx="9">
                  <c:v>4.743541964392761</c:v>
                </c:pt>
                <c:pt idx="10">
                  <c:v>4.922386125094796</c:v>
                </c:pt>
                <c:pt idx="11">
                  <c:v>5.101230285796833</c:v>
                </c:pt>
                <c:pt idx="12">
                  <c:v>5.280074446498867</c:v>
                </c:pt>
                <c:pt idx="13">
                  <c:v>5.458918607200903</c:v>
                </c:pt>
                <c:pt idx="14">
                  <c:v>5.637762767902939</c:v>
                </c:pt>
                <c:pt idx="15">
                  <c:v>5.816606928604974</c:v>
                </c:pt>
                <c:pt idx="16">
                  <c:v>5.99545108930701</c:v>
                </c:pt>
                <c:pt idx="17">
                  <c:v>6.174295250009045</c:v>
                </c:pt>
                <c:pt idx="18">
                  <c:v>6.353139410711081</c:v>
                </c:pt>
                <c:pt idx="19">
                  <c:v>6.531983571413116</c:v>
                </c:pt>
              </c:numCache>
            </c:numRef>
          </c:cat>
          <c:val>
            <c:numRef>
              <c:f>'Appliances Histogram'!$D$2:$D$21</c:f>
              <c:numCache>
                <c:formatCode>General</c:formatCode>
                <c:ptCount val="20"/>
                <c:pt idx="0">
                  <c:v>22</c:v>
                </c:pt>
                <c:pt idx="1">
                  <c:v>0</c:v>
                </c:pt>
                <c:pt idx="2">
                  <c:v>34</c:v>
                </c:pt>
                <c:pt idx="3">
                  <c:v>107</c:v>
                </c:pt>
                <c:pt idx="4">
                  <c:v>230</c:v>
                </c:pt>
                <c:pt idx="5">
                  <c:v>137</c:v>
                </c:pt>
                <c:pt idx="6">
                  <c:v>91</c:v>
                </c:pt>
                <c:pt idx="7">
                  <c:v>55</c:v>
                </c:pt>
                <c:pt idx="8">
                  <c:v>102</c:v>
                </c:pt>
                <c:pt idx="9">
                  <c:v>81</c:v>
                </c:pt>
                <c:pt idx="10">
                  <c:v>29</c:v>
                </c:pt>
                <c:pt idx="11">
                  <c:v>11</c:v>
                </c:pt>
                <c:pt idx="12">
                  <c:v>16</c:v>
                </c:pt>
                <c:pt idx="13">
                  <c:v>16</c:v>
                </c:pt>
                <c:pt idx="14">
                  <c:v>23</c:v>
                </c:pt>
                <c:pt idx="15">
                  <c:v>12</c:v>
                </c:pt>
                <c:pt idx="16">
                  <c:v>20</c:v>
                </c:pt>
                <c:pt idx="17">
                  <c:v>6</c:v>
                </c:pt>
                <c:pt idx="18">
                  <c:v>4</c:v>
                </c:pt>
                <c:pt idx="19">
                  <c:v>4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log1p bin midpoint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76200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533400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381000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14</xdr:col>
      <xdr:colOff>0</xdr:colOff>
      <xdr:row>34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28.7109375" customWidth="1"/>
    <col min="2" max="2" width="96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  <row r="9" spans="1:2">
      <c r="A9" t="s">
        <v>8</v>
      </c>
      <c r="B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04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3.7109375" customWidth="1"/>
  </cols>
  <sheetData>
    <row r="1" spans="1:7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>
      <c r="A2">
        <v>63</v>
      </c>
      <c r="B2">
        <v>1</v>
      </c>
      <c r="C2">
        <v>233</v>
      </c>
      <c r="D2">
        <v>150</v>
      </c>
      <c r="E2">
        <v>145</v>
      </c>
      <c r="F2">
        <v>2.3</v>
      </c>
      <c r="G2">
        <v>0</v>
      </c>
    </row>
    <row r="3" spans="1:7">
      <c r="A3">
        <v>67</v>
      </c>
      <c r="B3">
        <v>4</v>
      </c>
      <c r="C3">
        <v>286</v>
      </c>
      <c r="D3">
        <v>108</v>
      </c>
      <c r="E3">
        <v>160</v>
      </c>
      <c r="F3">
        <v>1.5</v>
      </c>
      <c r="G3">
        <v>1</v>
      </c>
    </row>
    <row r="4" spans="1:7">
      <c r="A4">
        <v>67</v>
      </c>
      <c r="B4">
        <v>4</v>
      </c>
      <c r="C4">
        <v>229</v>
      </c>
      <c r="D4">
        <v>129</v>
      </c>
      <c r="E4">
        <v>120</v>
      </c>
      <c r="F4">
        <v>2.6</v>
      </c>
      <c r="G4">
        <v>1</v>
      </c>
    </row>
    <row r="5" spans="1:7">
      <c r="A5">
        <v>37</v>
      </c>
      <c r="B5">
        <v>3</v>
      </c>
      <c r="C5">
        <v>250</v>
      </c>
      <c r="D5">
        <v>187</v>
      </c>
      <c r="E5">
        <v>130</v>
      </c>
      <c r="F5">
        <v>3.5</v>
      </c>
      <c r="G5">
        <v>0</v>
      </c>
    </row>
    <row r="6" spans="1:7">
      <c r="A6">
        <v>41</v>
      </c>
      <c r="B6">
        <v>2</v>
      </c>
      <c r="C6">
        <v>204</v>
      </c>
      <c r="D6">
        <v>172</v>
      </c>
      <c r="E6">
        <v>130</v>
      </c>
      <c r="F6">
        <v>1.4</v>
      </c>
      <c r="G6">
        <v>0</v>
      </c>
    </row>
    <row r="7" spans="1:7">
      <c r="A7">
        <v>56</v>
      </c>
      <c r="B7">
        <v>2</v>
      </c>
      <c r="C7">
        <v>236</v>
      </c>
      <c r="D7">
        <v>178</v>
      </c>
      <c r="E7">
        <v>120</v>
      </c>
      <c r="F7">
        <v>0.8</v>
      </c>
      <c r="G7">
        <v>0</v>
      </c>
    </row>
    <row r="8" spans="1:7">
      <c r="A8">
        <v>62</v>
      </c>
      <c r="B8">
        <v>4</v>
      </c>
      <c r="C8">
        <v>268</v>
      </c>
      <c r="D8">
        <v>160</v>
      </c>
      <c r="E8">
        <v>140</v>
      </c>
      <c r="F8">
        <v>3.6</v>
      </c>
      <c r="G8">
        <v>1</v>
      </c>
    </row>
    <row r="9" spans="1:7">
      <c r="A9">
        <v>57</v>
      </c>
      <c r="B9">
        <v>4</v>
      </c>
      <c r="C9">
        <v>354</v>
      </c>
      <c r="D9">
        <v>163</v>
      </c>
      <c r="E9">
        <v>120</v>
      </c>
      <c r="F9">
        <v>0.6</v>
      </c>
      <c r="G9">
        <v>0</v>
      </c>
    </row>
    <row r="10" spans="1:7">
      <c r="A10">
        <v>63</v>
      </c>
      <c r="B10">
        <v>4</v>
      </c>
      <c r="C10">
        <v>254</v>
      </c>
      <c r="D10">
        <v>147</v>
      </c>
      <c r="E10">
        <v>130</v>
      </c>
      <c r="F10">
        <v>1.4</v>
      </c>
      <c r="G10">
        <v>1</v>
      </c>
    </row>
    <row r="11" spans="1:7">
      <c r="A11">
        <v>53</v>
      </c>
      <c r="B11">
        <v>4</v>
      </c>
      <c r="C11">
        <v>203</v>
      </c>
      <c r="D11">
        <v>155</v>
      </c>
      <c r="E11">
        <v>140</v>
      </c>
      <c r="F11">
        <v>3.1</v>
      </c>
      <c r="G11">
        <v>1</v>
      </c>
    </row>
    <row r="12" spans="1:7">
      <c r="A12">
        <v>57</v>
      </c>
      <c r="B12">
        <v>4</v>
      </c>
      <c r="C12">
        <v>192</v>
      </c>
      <c r="D12">
        <v>148</v>
      </c>
      <c r="E12">
        <v>140</v>
      </c>
      <c r="F12">
        <v>0.4</v>
      </c>
      <c r="G12">
        <v>0</v>
      </c>
    </row>
    <row r="13" spans="1:7">
      <c r="A13">
        <v>56</v>
      </c>
      <c r="B13">
        <v>2</v>
      </c>
      <c r="C13">
        <v>294</v>
      </c>
      <c r="D13">
        <v>153</v>
      </c>
      <c r="E13">
        <v>140</v>
      </c>
      <c r="F13">
        <v>1.3</v>
      </c>
      <c r="G13">
        <v>0</v>
      </c>
    </row>
    <row r="14" spans="1:7">
      <c r="A14">
        <v>56</v>
      </c>
      <c r="B14">
        <v>3</v>
      </c>
      <c r="C14">
        <v>256</v>
      </c>
      <c r="D14">
        <v>142</v>
      </c>
      <c r="E14">
        <v>130</v>
      </c>
      <c r="F14">
        <v>0.6</v>
      </c>
      <c r="G14">
        <v>1</v>
      </c>
    </row>
    <row r="15" spans="1:7">
      <c r="A15">
        <v>44</v>
      </c>
      <c r="B15">
        <v>2</v>
      </c>
      <c r="C15">
        <v>263</v>
      </c>
      <c r="D15">
        <v>173</v>
      </c>
      <c r="E15">
        <v>120</v>
      </c>
      <c r="F15">
        <v>0</v>
      </c>
      <c r="G15">
        <v>0</v>
      </c>
    </row>
    <row r="16" spans="1:7">
      <c r="A16">
        <v>52</v>
      </c>
      <c r="B16">
        <v>3</v>
      </c>
      <c r="C16">
        <v>199</v>
      </c>
      <c r="D16">
        <v>162</v>
      </c>
      <c r="E16">
        <v>170</v>
      </c>
      <c r="F16">
        <v>0.5</v>
      </c>
      <c r="G16">
        <v>0</v>
      </c>
    </row>
    <row r="17" spans="1:7">
      <c r="A17">
        <v>57</v>
      </c>
      <c r="B17">
        <v>3</v>
      </c>
      <c r="C17">
        <v>168</v>
      </c>
      <c r="D17">
        <v>174</v>
      </c>
      <c r="E17">
        <v>150</v>
      </c>
      <c r="F17">
        <v>1.6</v>
      </c>
      <c r="G17">
        <v>0</v>
      </c>
    </row>
    <row r="18" spans="1:7">
      <c r="A18">
        <v>48</v>
      </c>
      <c r="B18">
        <v>2</v>
      </c>
      <c r="C18">
        <v>229</v>
      </c>
      <c r="D18">
        <v>168</v>
      </c>
      <c r="E18">
        <v>110</v>
      </c>
      <c r="F18">
        <v>1</v>
      </c>
      <c r="G18">
        <v>1</v>
      </c>
    </row>
    <row r="19" spans="1:7">
      <c r="A19">
        <v>54</v>
      </c>
      <c r="B19">
        <v>4</v>
      </c>
      <c r="C19">
        <v>239</v>
      </c>
      <c r="D19">
        <v>160</v>
      </c>
      <c r="E19">
        <v>140</v>
      </c>
      <c r="F19">
        <v>1.2</v>
      </c>
      <c r="G19">
        <v>0</v>
      </c>
    </row>
    <row r="20" spans="1:7">
      <c r="A20">
        <v>48</v>
      </c>
      <c r="B20">
        <v>3</v>
      </c>
      <c r="C20">
        <v>275</v>
      </c>
      <c r="D20">
        <v>139</v>
      </c>
      <c r="E20">
        <v>130</v>
      </c>
      <c r="F20">
        <v>0.2</v>
      </c>
      <c r="G20">
        <v>0</v>
      </c>
    </row>
    <row r="21" spans="1:7">
      <c r="A21">
        <v>49</v>
      </c>
      <c r="B21">
        <v>2</v>
      </c>
      <c r="C21">
        <v>266</v>
      </c>
      <c r="D21">
        <v>171</v>
      </c>
      <c r="E21">
        <v>130</v>
      </c>
      <c r="F21">
        <v>0.6</v>
      </c>
      <c r="G21">
        <v>0</v>
      </c>
    </row>
    <row r="22" spans="1:7">
      <c r="A22">
        <v>64</v>
      </c>
      <c r="B22">
        <v>1</v>
      </c>
      <c r="C22">
        <v>211</v>
      </c>
      <c r="D22">
        <v>144</v>
      </c>
      <c r="E22">
        <v>110</v>
      </c>
      <c r="F22">
        <v>1.8</v>
      </c>
      <c r="G22">
        <v>0</v>
      </c>
    </row>
    <row r="23" spans="1:7">
      <c r="A23">
        <v>58</v>
      </c>
      <c r="B23">
        <v>1</v>
      </c>
      <c r="C23">
        <v>283</v>
      </c>
      <c r="D23">
        <v>162</v>
      </c>
      <c r="E23">
        <v>150</v>
      </c>
      <c r="F23">
        <v>1</v>
      </c>
      <c r="G23">
        <v>0</v>
      </c>
    </row>
    <row r="24" spans="1:7">
      <c r="A24">
        <v>58</v>
      </c>
      <c r="B24">
        <v>2</v>
      </c>
      <c r="C24">
        <v>284</v>
      </c>
      <c r="D24">
        <v>160</v>
      </c>
      <c r="E24">
        <v>120</v>
      </c>
      <c r="F24">
        <v>1.8</v>
      </c>
      <c r="G24">
        <v>1</v>
      </c>
    </row>
    <row r="25" spans="1:7">
      <c r="A25">
        <v>58</v>
      </c>
      <c r="B25">
        <v>3</v>
      </c>
      <c r="C25">
        <v>224</v>
      </c>
      <c r="D25">
        <v>173</v>
      </c>
      <c r="E25">
        <v>132</v>
      </c>
      <c r="F25">
        <v>3.2</v>
      </c>
      <c r="G25">
        <v>1</v>
      </c>
    </row>
    <row r="26" spans="1:7">
      <c r="A26">
        <v>60</v>
      </c>
      <c r="B26">
        <v>4</v>
      </c>
      <c r="C26">
        <v>206</v>
      </c>
      <c r="D26">
        <v>132</v>
      </c>
      <c r="E26">
        <v>130</v>
      </c>
      <c r="F26">
        <v>2.4</v>
      </c>
      <c r="G26">
        <v>1</v>
      </c>
    </row>
    <row r="27" spans="1:7">
      <c r="A27">
        <v>50</v>
      </c>
      <c r="B27">
        <v>3</v>
      </c>
      <c r="C27">
        <v>219</v>
      </c>
      <c r="D27">
        <v>158</v>
      </c>
      <c r="E27">
        <v>120</v>
      </c>
      <c r="F27">
        <v>1.6</v>
      </c>
      <c r="G27">
        <v>0</v>
      </c>
    </row>
    <row r="28" spans="1:7">
      <c r="A28">
        <v>58</v>
      </c>
      <c r="B28">
        <v>3</v>
      </c>
      <c r="C28">
        <v>340</v>
      </c>
      <c r="D28">
        <v>172</v>
      </c>
      <c r="E28">
        <v>120</v>
      </c>
      <c r="F28">
        <v>0</v>
      </c>
      <c r="G28">
        <v>0</v>
      </c>
    </row>
    <row r="29" spans="1:7">
      <c r="A29">
        <v>66</v>
      </c>
      <c r="B29">
        <v>1</v>
      </c>
      <c r="C29">
        <v>226</v>
      </c>
      <c r="D29">
        <v>114</v>
      </c>
      <c r="E29">
        <v>150</v>
      </c>
      <c r="F29">
        <v>2.6</v>
      </c>
      <c r="G29">
        <v>0</v>
      </c>
    </row>
    <row r="30" spans="1:7">
      <c r="A30">
        <v>43</v>
      </c>
      <c r="B30">
        <v>4</v>
      </c>
      <c r="C30">
        <v>247</v>
      </c>
      <c r="D30">
        <v>171</v>
      </c>
      <c r="E30">
        <v>150</v>
      </c>
      <c r="F30">
        <v>1.5</v>
      </c>
      <c r="G30">
        <v>0</v>
      </c>
    </row>
    <row r="31" spans="1:7">
      <c r="A31">
        <v>40</v>
      </c>
      <c r="B31">
        <v>4</v>
      </c>
      <c r="C31">
        <v>167</v>
      </c>
      <c r="D31">
        <v>114</v>
      </c>
      <c r="E31">
        <v>110</v>
      </c>
      <c r="F31">
        <v>2</v>
      </c>
      <c r="G31">
        <v>1</v>
      </c>
    </row>
    <row r="32" spans="1:7">
      <c r="A32">
        <v>69</v>
      </c>
      <c r="B32">
        <v>1</v>
      </c>
      <c r="C32">
        <v>239</v>
      </c>
      <c r="D32">
        <v>151</v>
      </c>
      <c r="E32">
        <v>140</v>
      </c>
      <c r="F32">
        <v>1.8</v>
      </c>
      <c r="G32">
        <v>0</v>
      </c>
    </row>
    <row r="33" spans="1:7">
      <c r="A33">
        <v>60</v>
      </c>
      <c r="B33">
        <v>4</v>
      </c>
      <c r="C33">
        <v>230</v>
      </c>
      <c r="D33">
        <v>160</v>
      </c>
      <c r="E33">
        <v>117</v>
      </c>
      <c r="F33">
        <v>1.4</v>
      </c>
      <c r="G33">
        <v>1</v>
      </c>
    </row>
    <row r="34" spans="1:7">
      <c r="A34">
        <v>64</v>
      </c>
      <c r="B34">
        <v>3</v>
      </c>
      <c r="C34">
        <v>335</v>
      </c>
      <c r="D34">
        <v>158</v>
      </c>
      <c r="E34">
        <v>140</v>
      </c>
      <c r="F34">
        <v>0</v>
      </c>
      <c r="G34">
        <v>1</v>
      </c>
    </row>
    <row r="35" spans="1:7">
      <c r="A35">
        <v>59</v>
      </c>
      <c r="B35">
        <v>4</v>
      </c>
      <c r="C35">
        <v>234</v>
      </c>
      <c r="D35">
        <v>161</v>
      </c>
      <c r="E35">
        <v>135</v>
      </c>
      <c r="F35">
        <v>0.5</v>
      </c>
      <c r="G35">
        <v>0</v>
      </c>
    </row>
    <row r="36" spans="1:7">
      <c r="A36">
        <v>44</v>
      </c>
      <c r="B36">
        <v>3</v>
      </c>
      <c r="C36">
        <v>233</v>
      </c>
      <c r="D36">
        <v>179</v>
      </c>
      <c r="E36">
        <v>130</v>
      </c>
      <c r="F36">
        <v>0.4</v>
      </c>
      <c r="G36">
        <v>0</v>
      </c>
    </row>
    <row r="37" spans="1:7">
      <c r="A37">
        <v>42</v>
      </c>
      <c r="B37">
        <v>4</v>
      </c>
      <c r="C37">
        <v>226</v>
      </c>
      <c r="D37">
        <v>178</v>
      </c>
      <c r="E37">
        <v>140</v>
      </c>
      <c r="F37">
        <v>0</v>
      </c>
      <c r="G37">
        <v>0</v>
      </c>
    </row>
    <row r="38" spans="1:7">
      <c r="A38">
        <v>43</v>
      </c>
      <c r="B38">
        <v>4</v>
      </c>
      <c r="C38">
        <v>177</v>
      </c>
      <c r="D38">
        <v>120</v>
      </c>
      <c r="E38">
        <v>120</v>
      </c>
      <c r="F38">
        <v>2.5</v>
      </c>
      <c r="G38">
        <v>1</v>
      </c>
    </row>
    <row r="39" spans="1:7">
      <c r="A39">
        <v>57</v>
      </c>
      <c r="B39">
        <v>4</v>
      </c>
      <c r="C39">
        <v>276</v>
      </c>
      <c r="D39">
        <v>112</v>
      </c>
      <c r="E39">
        <v>150</v>
      </c>
      <c r="F39">
        <v>0.6</v>
      </c>
      <c r="G39">
        <v>1</v>
      </c>
    </row>
    <row r="40" spans="1:7">
      <c r="A40">
        <v>55</v>
      </c>
      <c r="B40">
        <v>4</v>
      </c>
      <c r="C40">
        <v>353</v>
      </c>
      <c r="D40">
        <v>132</v>
      </c>
      <c r="E40">
        <v>132</v>
      </c>
      <c r="F40">
        <v>1.2</v>
      </c>
      <c r="G40">
        <v>1</v>
      </c>
    </row>
    <row r="41" spans="1:7">
      <c r="A41">
        <v>61</v>
      </c>
      <c r="B41">
        <v>3</v>
      </c>
      <c r="C41">
        <v>243</v>
      </c>
      <c r="D41">
        <v>137</v>
      </c>
      <c r="E41">
        <v>150</v>
      </c>
      <c r="F41">
        <v>1</v>
      </c>
      <c r="G41">
        <v>0</v>
      </c>
    </row>
    <row r="42" spans="1:7">
      <c r="A42">
        <v>65</v>
      </c>
      <c r="B42">
        <v>4</v>
      </c>
      <c r="C42">
        <v>225</v>
      </c>
      <c r="D42">
        <v>114</v>
      </c>
      <c r="E42">
        <v>150</v>
      </c>
      <c r="F42">
        <v>1</v>
      </c>
      <c r="G42">
        <v>1</v>
      </c>
    </row>
    <row r="43" spans="1:7">
      <c r="A43">
        <v>40</v>
      </c>
      <c r="B43">
        <v>1</v>
      </c>
      <c r="C43">
        <v>199</v>
      </c>
      <c r="D43">
        <v>178</v>
      </c>
      <c r="E43">
        <v>140</v>
      </c>
      <c r="F43">
        <v>1.4</v>
      </c>
      <c r="G43">
        <v>0</v>
      </c>
    </row>
    <row r="44" spans="1:7">
      <c r="A44">
        <v>71</v>
      </c>
      <c r="B44">
        <v>2</v>
      </c>
      <c r="C44">
        <v>302</v>
      </c>
      <c r="D44">
        <v>162</v>
      </c>
      <c r="E44">
        <v>160</v>
      </c>
      <c r="F44">
        <v>0.4</v>
      </c>
      <c r="G44">
        <v>0</v>
      </c>
    </row>
    <row r="45" spans="1:7">
      <c r="A45">
        <v>59</v>
      </c>
      <c r="B45">
        <v>3</v>
      </c>
      <c r="C45">
        <v>212</v>
      </c>
      <c r="D45">
        <v>157</v>
      </c>
      <c r="E45">
        <v>150</v>
      </c>
      <c r="F45">
        <v>1.6</v>
      </c>
      <c r="G45">
        <v>0</v>
      </c>
    </row>
    <row r="46" spans="1:7">
      <c r="A46">
        <v>61</v>
      </c>
      <c r="B46">
        <v>4</v>
      </c>
      <c r="C46">
        <v>330</v>
      </c>
      <c r="D46">
        <v>169</v>
      </c>
      <c r="E46">
        <v>130</v>
      </c>
      <c r="F46">
        <v>0</v>
      </c>
      <c r="G46">
        <v>1</v>
      </c>
    </row>
    <row r="47" spans="1:7">
      <c r="A47">
        <v>58</v>
      </c>
      <c r="B47">
        <v>3</v>
      </c>
      <c r="C47">
        <v>230</v>
      </c>
      <c r="D47">
        <v>165</v>
      </c>
      <c r="E47">
        <v>112</v>
      </c>
      <c r="F47">
        <v>2.5</v>
      </c>
      <c r="G47">
        <v>1</v>
      </c>
    </row>
    <row r="48" spans="1:7">
      <c r="A48">
        <v>51</v>
      </c>
      <c r="B48">
        <v>3</v>
      </c>
      <c r="C48">
        <v>175</v>
      </c>
      <c r="D48">
        <v>123</v>
      </c>
      <c r="E48">
        <v>110</v>
      </c>
      <c r="F48">
        <v>0.6</v>
      </c>
      <c r="G48">
        <v>0</v>
      </c>
    </row>
    <row r="49" spans="1:7">
      <c r="A49">
        <v>50</v>
      </c>
      <c r="B49">
        <v>4</v>
      </c>
      <c r="C49">
        <v>243</v>
      </c>
      <c r="D49">
        <v>128</v>
      </c>
      <c r="E49">
        <v>150</v>
      </c>
      <c r="F49">
        <v>2.6</v>
      </c>
      <c r="G49">
        <v>1</v>
      </c>
    </row>
    <row r="50" spans="1:7">
      <c r="A50">
        <v>65</v>
      </c>
      <c r="B50">
        <v>3</v>
      </c>
      <c r="C50">
        <v>371</v>
      </c>
      <c r="D50">
        <v>157</v>
      </c>
      <c r="E50">
        <v>140</v>
      </c>
      <c r="F50">
        <v>0.8</v>
      </c>
      <c r="G50">
        <v>0</v>
      </c>
    </row>
    <row r="51" spans="1:7">
      <c r="A51">
        <v>53</v>
      </c>
      <c r="B51">
        <v>3</v>
      </c>
      <c r="C51">
        <v>197</v>
      </c>
      <c r="D51">
        <v>152</v>
      </c>
      <c r="E51">
        <v>130</v>
      </c>
      <c r="F51">
        <v>1.2</v>
      </c>
      <c r="G51">
        <v>0</v>
      </c>
    </row>
    <row r="52" spans="1:7">
      <c r="A52">
        <v>41</v>
      </c>
      <c r="B52">
        <v>2</v>
      </c>
      <c r="C52">
        <v>198</v>
      </c>
      <c r="D52">
        <v>168</v>
      </c>
      <c r="E52">
        <v>105</v>
      </c>
      <c r="F52">
        <v>0</v>
      </c>
      <c r="G52">
        <v>0</v>
      </c>
    </row>
    <row r="53" spans="1:7">
      <c r="A53">
        <v>65</v>
      </c>
      <c r="B53">
        <v>4</v>
      </c>
      <c r="C53">
        <v>177</v>
      </c>
      <c r="D53">
        <v>140</v>
      </c>
      <c r="E53">
        <v>120</v>
      </c>
      <c r="F53">
        <v>0.4</v>
      </c>
      <c r="G53">
        <v>0</v>
      </c>
    </row>
    <row r="54" spans="1:7">
      <c r="A54">
        <v>44</v>
      </c>
      <c r="B54">
        <v>4</v>
      </c>
      <c r="C54">
        <v>290</v>
      </c>
      <c r="D54">
        <v>153</v>
      </c>
      <c r="E54">
        <v>112</v>
      </c>
      <c r="F54">
        <v>0</v>
      </c>
      <c r="G54">
        <v>1</v>
      </c>
    </row>
    <row r="55" spans="1:7">
      <c r="A55">
        <v>44</v>
      </c>
      <c r="B55">
        <v>2</v>
      </c>
      <c r="C55">
        <v>219</v>
      </c>
      <c r="D55">
        <v>188</v>
      </c>
      <c r="E55">
        <v>130</v>
      </c>
      <c r="F55">
        <v>0</v>
      </c>
      <c r="G55">
        <v>0</v>
      </c>
    </row>
    <row r="56" spans="1:7">
      <c r="A56">
        <v>60</v>
      </c>
      <c r="B56">
        <v>4</v>
      </c>
      <c r="C56">
        <v>253</v>
      </c>
      <c r="D56">
        <v>144</v>
      </c>
      <c r="E56">
        <v>130</v>
      </c>
      <c r="F56">
        <v>1.4</v>
      </c>
      <c r="G56">
        <v>1</v>
      </c>
    </row>
    <row r="57" spans="1:7">
      <c r="A57">
        <v>54</v>
      </c>
      <c r="B57">
        <v>4</v>
      </c>
      <c r="C57">
        <v>266</v>
      </c>
      <c r="D57">
        <v>109</v>
      </c>
      <c r="E57">
        <v>124</v>
      </c>
      <c r="F57">
        <v>2.2</v>
      </c>
      <c r="G57">
        <v>1</v>
      </c>
    </row>
    <row r="58" spans="1:7">
      <c r="A58">
        <v>50</v>
      </c>
      <c r="B58">
        <v>3</v>
      </c>
      <c r="C58">
        <v>233</v>
      </c>
      <c r="D58">
        <v>163</v>
      </c>
      <c r="E58">
        <v>140</v>
      </c>
      <c r="F58">
        <v>0.6</v>
      </c>
      <c r="G58">
        <v>1</v>
      </c>
    </row>
    <row r="59" spans="1:7">
      <c r="A59">
        <v>41</v>
      </c>
      <c r="B59">
        <v>4</v>
      </c>
      <c r="C59">
        <v>172</v>
      </c>
      <c r="D59">
        <v>158</v>
      </c>
      <c r="E59">
        <v>110</v>
      </c>
      <c r="F59">
        <v>0</v>
      </c>
      <c r="G59">
        <v>1</v>
      </c>
    </row>
    <row r="60" spans="1:7">
      <c r="A60">
        <v>54</v>
      </c>
      <c r="B60">
        <v>3</v>
      </c>
      <c r="C60">
        <v>273</v>
      </c>
      <c r="D60">
        <v>152</v>
      </c>
      <c r="E60">
        <v>125</v>
      </c>
      <c r="F60">
        <v>0.5</v>
      </c>
      <c r="G60">
        <v>0</v>
      </c>
    </row>
    <row r="61" spans="1:7">
      <c r="A61">
        <v>51</v>
      </c>
      <c r="B61">
        <v>1</v>
      </c>
      <c r="C61">
        <v>213</v>
      </c>
      <c r="D61">
        <v>125</v>
      </c>
      <c r="E61">
        <v>125</v>
      </c>
      <c r="F61">
        <v>1.4</v>
      </c>
      <c r="G61">
        <v>0</v>
      </c>
    </row>
    <row r="62" spans="1:7">
      <c r="A62">
        <v>51</v>
      </c>
      <c r="B62">
        <v>4</v>
      </c>
      <c r="C62">
        <v>305</v>
      </c>
      <c r="D62">
        <v>142</v>
      </c>
      <c r="E62">
        <v>130</v>
      </c>
      <c r="F62">
        <v>1.2</v>
      </c>
      <c r="G62">
        <v>1</v>
      </c>
    </row>
    <row r="63" spans="1:7">
      <c r="A63">
        <v>46</v>
      </c>
      <c r="B63">
        <v>3</v>
      </c>
      <c r="C63">
        <v>177</v>
      </c>
      <c r="D63">
        <v>160</v>
      </c>
      <c r="E63">
        <v>142</v>
      </c>
      <c r="F63">
        <v>1.4</v>
      </c>
      <c r="G63">
        <v>0</v>
      </c>
    </row>
    <row r="64" spans="1:7">
      <c r="A64">
        <v>58</v>
      </c>
      <c r="B64">
        <v>4</v>
      </c>
      <c r="C64">
        <v>216</v>
      </c>
      <c r="D64">
        <v>131</v>
      </c>
      <c r="E64">
        <v>128</v>
      </c>
      <c r="F64">
        <v>2.2</v>
      </c>
      <c r="G64">
        <v>1</v>
      </c>
    </row>
    <row r="65" spans="1:7">
      <c r="A65">
        <v>54</v>
      </c>
      <c r="B65">
        <v>3</v>
      </c>
      <c r="C65">
        <v>304</v>
      </c>
      <c r="D65">
        <v>170</v>
      </c>
      <c r="E65">
        <v>135</v>
      </c>
      <c r="F65">
        <v>0</v>
      </c>
      <c r="G65">
        <v>0</v>
      </c>
    </row>
    <row r="66" spans="1:7">
      <c r="A66">
        <v>54</v>
      </c>
      <c r="B66">
        <v>4</v>
      </c>
      <c r="C66">
        <v>188</v>
      </c>
      <c r="D66">
        <v>113</v>
      </c>
      <c r="E66">
        <v>120</v>
      </c>
      <c r="F66">
        <v>1.4</v>
      </c>
      <c r="G66">
        <v>1</v>
      </c>
    </row>
    <row r="67" spans="1:7">
      <c r="A67">
        <v>60</v>
      </c>
      <c r="B67">
        <v>4</v>
      </c>
      <c r="C67">
        <v>282</v>
      </c>
      <c r="D67">
        <v>142</v>
      </c>
      <c r="E67">
        <v>145</v>
      </c>
      <c r="F67">
        <v>2.8</v>
      </c>
      <c r="G67">
        <v>1</v>
      </c>
    </row>
    <row r="68" spans="1:7">
      <c r="A68">
        <v>60</v>
      </c>
      <c r="B68">
        <v>3</v>
      </c>
      <c r="C68">
        <v>185</v>
      </c>
      <c r="D68">
        <v>155</v>
      </c>
      <c r="E68">
        <v>140</v>
      </c>
      <c r="F68">
        <v>3</v>
      </c>
      <c r="G68">
        <v>1</v>
      </c>
    </row>
    <row r="69" spans="1:7">
      <c r="A69">
        <v>54</v>
      </c>
      <c r="B69">
        <v>3</v>
      </c>
      <c r="C69">
        <v>232</v>
      </c>
      <c r="D69">
        <v>165</v>
      </c>
      <c r="E69">
        <v>150</v>
      </c>
      <c r="F69">
        <v>1.6</v>
      </c>
      <c r="G69">
        <v>0</v>
      </c>
    </row>
    <row r="70" spans="1:7">
      <c r="A70">
        <v>59</v>
      </c>
      <c r="B70">
        <v>4</v>
      </c>
      <c r="C70">
        <v>326</v>
      </c>
      <c r="D70">
        <v>140</v>
      </c>
      <c r="E70">
        <v>170</v>
      </c>
      <c r="F70">
        <v>3.4</v>
      </c>
      <c r="G70">
        <v>1</v>
      </c>
    </row>
    <row r="71" spans="1:7">
      <c r="A71">
        <v>46</v>
      </c>
      <c r="B71">
        <v>3</v>
      </c>
      <c r="C71">
        <v>231</v>
      </c>
      <c r="D71">
        <v>147</v>
      </c>
      <c r="E71">
        <v>150</v>
      </c>
      <c r="F71">
        <v>3.6</v>
      </c>
      <c r="G71">
        <v>1</v>
      </c>
    </row>
    <row r="72" spans="1:7">
      <c r="A72">
        <v>65</v>
      </c>
      <c r="B72">
        <v>3</v>
      </c>
      <c r="C72">
        <v>269</v>
      </c>
      <c r="D72">
        <v>148</v>
      </c>
      <c r="E72">
        <v>155</v>
      </c>
      <c r="F72">
        <v>0.8</v>
      </c>
      <c r="G72">
        <v>0</v>
      </c>
    </row>
    <row r="73" spans="1:7">
      <c r="A73">
        <v>67</v>
      </c>
      <c r="B73">
        <v>4</v>
      </c>
      <c r="C73">
        <v>254</v>
      </c>
      <c r="D73">
        <v>163</v>
      </c>
      <c r="E73">
        <v>125</v>
      </c>
      <c r="F73">
        <v>0.2</v>
      </c>
      <c r="G73">
        <v>1</v>
      </c>
    </row>
    <row r="74" spans="1:7">
      <c r="A74">
        <v>62</v>
      </c>
      <c r="B74">
        <v>4</v>
      </c>
      <c r="C74">
        <v>267</v>
      </c>
      <c r="D74">
        <v>99</v>
      </c>
      <c r="E74">
        <v>120</v>
      </c>
      <c r="F74">
        <v>1.8</v>
      </c>
      <c r="G74">
        <v>1</v>
      </c>
    </row>
    <row r="75" spans="1:7">
      <c r="A75">
        <v>65</v>
      </c>
      <c r="B75">
        <v>4</v>
      </c>
      <c r="C75">
        <v>248</v>
      </c>
      <c r="D75">
        <v>158</v>
      </c>
      <c r="E75">
        <v>110</v>
      </c>
      <c r="F75">
        <v>0.6</v>
      </c>
      <c r="G75">
        <v>1</v>
      </c>
    </row>
    <row r="76" spans="1:7">
      <c r="A76">
        <v>44</v>
      </c>
      <c r="B76">
        <v>4</v>
      </c>
      <c r="C76">
        <v>197</v>
      </c>
      <c r="D76">
        <v>177</v>
      </c>
      <c r="E76">
        <v>110</v>
      </c>
      <c r="F76">
        <v>0</v>
      </c>
      <c r="G76">
        <v>1</v>
      </c>
    </row>
    <row r="77" spans="1:7">
      <c r="A77">
        <v>65</v>
      </c>
      <c r="B77">
        <v>3</v>
      </c>
      <c r="C77">
        <v>360</v>
      </c>
      <c r="D77">
        <v>151</v>
      </c>
      <c r="E77">
        <v>160</v>
      </c>
      <c r="F77">
        <v>0.8</v>
      </c>
      <c r="G77">
        <v>0</v>
      </c>
    </row>
    <row r="78" spans="1:7">
      <c r="A78">
        <v>60</v>
      </c>
      <c r="B78">
        <v>4</v>
      </c>
      <c r="C78">
        <v>258</v>
      </c>
      <c r="D78">
        <v>141</v>
      </c>
      <c r="E78">
        <v>125</v>
      </c>
      <c r="F78">
        <v>2.8</v>
      </c>
      <c r="G78">
        <v>1</v>
      </c>
    </row>
    <row r="79" spans="1:7">
      <c r="A79">
        <v>51</v>
      </c>
      <c r="B79">
        <v>3</v>
      </c>
      <c r="C79">
        <v>308</v>
      </c>
      <c r="D79">
        <v>142</v>
      </c>
      <c r="E79">
        <v>140</v>
      </c>
      <c r="F79">
        <v>1.5</v>
      </c>
      <c r="G79">
        <v>0</v>
      </c>
    </row>
    <row r="80" spans="1:7">
      <c r="A80">
        <v>48</v>
      </c>
      <c r="B80">
        <v>2</v>
      </c>
      <c r="C80">
        <v>245</v>
      </c>
      <c r="D80">
        <v>180</v>
      </c>
      <c r="E80">
        <v>130</v>
      </c>
      <c r="F80">
        <v>0.2</v>
      </c>
      <c r="G80">
        <v>0</v>
      </c>
    </row>
    <row r="81" spans="1:7">
      <c r="A81">
        <v>58</v>
      </c>
      <c r="B81">
        <v>4</v>
      </c>
      <c r="C81">
        <v>270</v>
      </c>
      <c r="D81">
        <v>111</v>
      </c>
      <c r="E81">
        <v>150</v>
      </c>
      <c r="F81">
        <v>0.8</v>
      </c>
      <c r="G81">
        <v>1</v>
      </c>
    </row>
    <row r="82" spans="1:7">
      <c r="A82">
        <v>45</v>
      </c>
      <c r="B82">
        <v>4</v>
      </c>
      <c r="C82">
        <v>208</v>
      </c>
      <c r="D82">
        <v>148</v>
      </c>
      <c r="E82">
        <v>104</v>
      </c>
      <c r="F82">
        <v>3</v>
      </c>
      <c r="G82">
        <v>0</v>
      </c>
    </row>
    <row r="83" spans="1:7">
      <c r="A83">
        <v>53</v>
      </c>
      <c r="B83">
        <v>4</v>
      </c>
      <c r="C83">
        <v>264</v>
      </c>
      <c r="D83">
        <v>143</v>
      </c>
      <c r="E83">
        <v>130</v>
      </c>
      <c r="F83">
        <v>0.4</v>
      </c>
      <c r="G83">
        <v>0</v>
      </c>
    </row>
    <row r="84" spans="1:7">
      <c r="A84">
        <v>39</v>
      </c>
      <c r="B84">
        <v>3</v>
      </c>
      <c r="C84">
        <v>321</v>
      </c>
      <c r="D84">
        <v>182</v>
      </c>
      <c r="E84">
        <v>140</v>
      </c>
      <c r="F84">
        <v>0</v>
      </c>
      <c r="G84">
        <v>0</v>
      </c>
    </row>
    <row r="85" spans="1:7">
      <c r="A85">
        <v>68</v>
      </c>
      <c r="B85">
        <v>3</v>
      </c>
      <c r="C85">
        <v>274</v>
      </c>
      <c r="D85">
        <v>150</v>
      </c>
      <c r="E85">
        <v>170</v>
      </c>
      <c r="F85">
        <v>1.6</v>
      </c>
      <c r="G85">
        <v>1</v>
      </c>
    </row>
    <row r="86" spans="1:7">
      <c r="A86">
        <v>52</v>
      </c>
      <c r="B86">
        <v>2</v>
      </c>
      <c r="C86">
        <v>325</v>
      </c>
      <c r="D86">
        <v>172</v>
      </c>
      <c r="E86">
        <v>120</v>
      </c>
      <c r="F86">
        <v>0.2</v>
      </c>
      <c r="G86">
        <v>0</v>
      </c>
    </row>
    <row r="87" spans="1:7">
      <c r="A87">
        <v>44</v>
      </c>
      <c r="B87">
        <v>3</v>
      </c>
      <c r="C87">
        <v>235</v>
      </c>
      <c r="D87">
        <v>180</v>
      </c>
      <c r="E87">
        <v>140</v>
      </c>
      <c r="F87">
        <v>0</v>
      </c>
      <c r="G87">
        <v>0</v>
      </c>
    </row>
    <row r="88" spans="1:7">
      <c r="A88">
        <v>47</v>
      </c>
      <c r="B88">
        <v>3</v>
      </c>
      <c r="C88">
        <v>257</v>
      </c>
      <c r="D88">
        <v>156</v>
      </c>
      <c r="E88">
        <v>138</v>
      </c>
      <c r="F88">
        <v>0</v>
      </c>
      <c r="G88">
        <v>0</v>
      </c>
    </row>
    <row r="89" spans="1:7">
      <c r="A89">
        <v>53</v>
      </c>
      <c r="B89">
        <v>3</v>
      </c>
      <c r="C89">
        <v>216</v>
      </c>
      <c r="D89">
        <v>115</v>
      </c>
      <c r="E89">
        <v>128</v>
      </c>
      <c r="F89">
        <v>0</v>
      </c>
      <c r="G89">
        <v>0</v>
      </c>
    </row>
    <row r="90" spans="1:7">
      <c r="A90">
        <v>53</v>
      </c>
      <c r="B90">
        <v>4</v>
      </c>
      <c r="C90">
        <v>234</v>
      </c>
      <c r="D90">
        <v>160</v>
      </c>
      <c r="E90">
        <v>138</v>
      </c>
      <c r="F90">
        <v>0</v>
      </c>
      <c r="G90">
        <v>0</v>
      </c>
    </row>
    <row r="91" spans="1:7">
      <c r="A91">
        <v>51</v>
      </c>
      <c r="B91">
        <v>3</v>
      </c>
      <c r="C91">
        <v>256</v>
      </c>
      <c r="D91">
        <v>149</v>
      </c>
      <c r="E91">
        <v>130</v>
      </c>
      <c r="F91">
        <v>0.5</v>
      </c>
      <c r="G91">
        <v>0</v>
      </c>
    </row>
    <row r="92" spans="1:7">
      <c r="A92">
        <v>66</v>
      </c>
      <c r="B92">
        <v>4</v>
      </c>
      <c r="C92">
        <v>302</v>
      </c>
      <c r="D92">
        <v>151</v>
      </c>
      <c r="E92">
        <v>120</v>
      </c>
      <c r="F92">
        <v>0.4</v>
      </c>
      <c r="G92">
        <v>0</v>
      </c>
    </row>
    <row r="93" spans="1:7">
      <c r="A93">
        <v>62</v>
      </c>
      <c r="B93">
        <v>4</v>
      </c>
      <c r="C93">
        <v>164</v>
      </c>
      <c r="D93">
        <v>145</v>
      </c>
      <c r="E93">
        <v>160</v>
      </c>
      <c r="F93">
        <v>4</v>
      </c>
      <c r="G93">
        <v>1</v>
      </c>
    </row>
    <row r="94" spans="1:7">
      <c r="A94">
        <v>62</v>
      </c>
      <c r="B94">
        <v>3</v>
      </c>
      <c r="C94">
        <v>231</v>
      </c>
      <c r="D94">
        <v>146</v>
      </c>
      <c r="E94">
        <v>130</v>
      </c>
      <c r="F94">
        <v>1.8</v>
      </c>
      <c r="G94">
        <v>0</v>
      </c>
    </row>
    <row r="95" spans="1:7">
      <c r="A95">
        <v>44</v>
      </c>
      <c r="B95">
        <v>3</v>
      </c>
      <c r="C95">
        <v>141</v>
      </c>
      <c r="D95">
        <v>175</v>
      </c>
      <c r="E95">
        <v>108</v>
      </c>
      <c r="F95">
        <v>0.6</v>
      </c>
      <c r="G95">
        <v>0</v>
      </c>
    </row>
    <row r="96" spans="1:7">
      <c r="A96">
        <v>63</v>
      </c>
      <c r="B96">
        <v>3</v>
      </c>
      <c r="C96">
        <v>252</v>
      </c>
      <c r="D96">
        <v>172</v>
      </c>
      <c r="E96">
        <v>135</v>
      </c>
      <c r="F96">
        <v>0</v>
      </c>
      <c r="G96">
        <v>0</v>
      </c>
    </row>
    <row r="97" spans="1:7">
      <c r="A97">
        <v>52</v>
      </c>
      <c r="B97">
        <v>4</v>
      </c>
      <c r="C97">
        <v>255</v>
      </c>
      <c r="D97">
        <v>161</v>
      </c>
      <c r="E97">
        <v>128</v>
      </c>
      <c r="F97">
        <v>0</v>
      </c>
      <c r="G97">
        <v>1</v>
      </c>
    </row>
    <row r="98" spans="1:7">
      <c r="A98">
        <v>59</v>
      </c>
      <c r="B98">
        <v>4</v>
      </c>
      <c r="C98">
        <v>239</v>
      </c>
      <c r="D98">
        <v>142</v>
      </c>
      <c r="E98">
        <v>110</v>
      </c>
      <c r="F98">
        <v>1.2</v>
      </c>
      <c r="G98">
        <v>1</v>
      </c>
    </row>
    <row r="99" spans="1:7">
      <c r="A99">
        <v>60</v>
      </c>
      <c r="B99">
        <v>4</v>
      </c>
      <c r="C99">
        <v>258</v>
      </c>
      <c r="D99">
        <v>157</v>
      </c>
      <c r="E99">
        <v>150</v>
      </c>
      <c r="F99">
        <v>2.6</v>
      </c>
      <c r="G99">
        <v>1</v>
      </c>
    </row>
    <row r="100" spans="1:7">
      <c r="A100">
        <v>52</v>
      </c>
      <c r="B100">
        <v>2</v>
      </c>
      <c r="C100">
        <v>201</v>
      </c>
      <c r="D100">
        <v>158</v>
      </c>
      <c r="E100">
        <v>134</v>
      </c>
      <c r="F100">
        <v>0.8</v>
      </c>
      <c r="G100">
        <v>0</v>
      </c>
    </row>
    <row r="101" spans="1:7">
      <c r="A101">
        <v>48</v>
      </c>
      <c r="B101">
        <v>4</v>
      </c>
      <c r="C101">
        <v>222</v>
      </c>
      <c r="D101">
        <v>186</v>
      </c>
      <c r="E101">
        <v>122</v>
      </c>
      <c r="F101">
        <v>0</v>
      </c>
      <c r="G101">
        <v>0</v>
      </c>
    </row>
    <row r="102" spans="1:7">
      <c r="A102">
        <v>45</v>
      </c>
      <c r="B102">
        <v>4</v>
      </c>
      <c r="C102">
        <v>260</v>
      </c>
      <c r="D102">
        <v>185</v>
      </c>
      <c r="E102">
        <v>115</v>
      </c>
      <c r="F102">
        <v>0</v>
      </c>
      <c r="G102">
        <v>0</v>
      </c>
    </row>
    <row r="103" spans="1:7">
      <c r="A103">
        <v>34</v>
      </c>
      <c r="B103">
        <v>1</v>
      </c>
      <c r="C103">
        <v>182</v>
      </c>
      <c r="D103">
        <v>174</v>
      </c>
      <c r="E103">
        <v>118</v>
      </c>
      <c r="F103">
        <v>0</v>
      </c>
      <c r="G103">
        <v>0</v>
      </c>
    </row>
    <row r="104" spans="1:7">
      <c r="A104">
        <v>57</v>
      </c>
      <c r="B104">
        <v>4</v>
      </c>
      <c r="C104">
        <v>303</v>
      </c>
      <c r="D104">
        <v>159</v>
      </c>
      <c r="E104">
        <v>128</v>
      </c>
      <c r="F104">
        <v>0</v>
      </c>
      <c r="G104">
        <v>0</v>
      </c>
    </row>
    <row r="105" spans="1:7">
      <c r="A105">
        <v>71</v>
      </c>
      <c r="B105">
        <v>3</v>
      </c>
      <c r="C105">
        <v>265</v>
      </c>
      <c r="D105">
        <v>130</v>
      </c>
      <c r="E105">
        <v>110</v>
      </c>
      <c r="F105">
        <v>0</v>
      </c>
      <c r="G105">
        <v>0</v>
      </c>
    </row>
    <row r="106" spans="1:7">
      <c r="A106">
        <v>49</v>
      </c>
      <c r="B106">
        <v>3</v>
      </c>
      <c r="C106">
        <v>188</v>
      </c>
      <c r="D106">
        <v>139</v>
      </c>
      <c r="E106">
        <v>120</v>
      </c>
      <c r="F106">
        <v>2</v>
      </c>
      <c r="G106">
        <v>1</v>
      </c>
    </row>
    <row r="107" spans="1:7">
      <c r="A107">
        <v>54</v>
      </c>
      <c r="B107">
        <v>2</v>
      </c>
      <c r="C107">
        <v>309</v>
      </c>
      <c r="D107">
        <v>156</v>
      </c>
      <c r="E107">
        <v>108</v>
      </c>
      <c r="F107">
        <v>0</v>
      </c>
      <c r="G107">
        <v>0</v>
      </c>
    </row>
    <row r="108" spans="1:7">
      <c r="A108">
        <v>59</v>
      </c>
      <c r="B108">
        <v>4</v>
      </c>
      <c r="C108">
        <v>177</v>
      </c>
      <c r="D108">
        <v>162</v>
      </c>
      <c r="E108">
        <v>140</v>
      </c>
      <c r="F108">
        <v>0</v>
      </c>
      <c r="G108">
        <v>1</v>
      </c>
    </row>
    <row r="109" spans="1:7">
      <c r="A109">
        <v>57</v>
      </c>
      <c r="B109">
        <v>3</v>
      </c>
      <c r="C109">
        <v>229</v>
      </c>
      <c r="D109">
        <v>150</v>
      </c>
      <c r="E109">
        <v>128</v>
      </c>
      <c r="F109">
        <v>0.4</v>
      </c>
      <c r="G109">
        <v>1</v>
      </c>
    </row>
    <row r="110" spans="1:7">
      <c r="A110">
        <v>61</v>
      </c>
      <c r="B110">
        <v>4</v>
      </c>
      <c r="C110">
        <v>260</v>
      </c>
      <c r="D110">
        <v>140</v>
      </c>
      <c r="E110">
        <v>120</v>
      </c>
      <c r="F110">
        <v>3.6</v>
      </c>
      <c r="G110">
        <v>1</v>
      </c>
    </row>
    <row r="111" spans="1:7">
      <c r="A111">
        <v>39</v>
      </c>
      <c r="B111">
        <v>4</v>
      </c>
      <c r="C111">
        <v>219</v>
      </c>
      <c r="D111">
        <v>140</v>
      </c>
      <c r="E111">
        <v>118</v>
      </c>
      <c r="F111">
        <v>1.2</v>
      </c>
      <c r="G111">
        <v>1</v>
      </c>
    </row>
    <row r="112" spans="1:7">
      <c r="A112">
        <v>61</v>
      </c>
      <c r="B112">
        <v>4</v>
      </c>
      <c r="C112">
        <v>307</v>
      </c>
      <c r="D112">
        <v>146</v>
      </c>
      <c r="E112">
        <v>145</v>
      </c>
      <c r="F112">
        <v>1</v>
      </c>
      <c r="G112">
        <v>1</v>
      </c>
    </row>
    <row r="113" spans="1:7">
      <c r="A113">
        <v>56</v>
      </c>
      <c r="B113">
        <v>4</v>
      </c>
      <c r="C113">
        <v>249</v>
      </c>
      <c r="D113">
        <v>144</v>
      </c>
      <c r="E113">
        <v>125</v>
      </c>
      <c r="F113">
        <v>1.2</v>
      </c>
      <c r="G113">
        <v>1</v>
      </c>
    </row>
    <row r="114" spans="1:7">
      <c r="A114">
        <v>52</v>
      </c>
      <c r="B114">
        <v>1</v>
      </c>
      <c r="C114">
        <v>186</v>
      </c>
      <c r="D114">
        <v>190</v>
      </c>
      <c r="E114">
        <v>118</v>
      </c>
      <c r="F114">
        <v>0</v>
      </c>
      <c r="G114">
        <v>0</v>
      </c>
    </row>
    <row r="115" spans="1:7">
      <c r="A115">
        <v>43</v>
      </c>
      <c r="B115">
        <v>4</v>
      </c>
      <c r="C115">
        <v>341</v>
      </c>
      <c r="D115">
        <v>136</v>
      </c>
      <c r="E115">
        <v>132</v>
      </c>
      <c r="F115">
        <v>3</v>
      </c>
      <c r="G115">
        <v>1</v>
      </c>
    </row>
    <row r="116" spans="1:7">
      <c r="A116">
        <v>62</v>
      </c>
      <c r="B116">
        <v>3</v>
      </c>
      <c r="C116">
        <v>263</v>
      </c>
      <c r="D116">
        <v>97</v>
      </c>
      <c r="E116">
        <v>130</v>
      </c>
      <c r="F116">
        <v>1.2</v>
      </c>
      <c r="G116">
        <v>1</v>
      </c>
    </row>
    <row r="117" spans="1:7">
      <c r="A117">
        <v>41</v>
      </c>
      <c r="B117">
        <v>2</v>
      </c>
      <c r="C117">
        <v>203</v>
      </c>
      <c r="D117">
        <v>132</v>
      </c>
      <c r="E117">
        <v>135</v>
      </c>
      <c r="F117">
        <v>0</v>
      </c>
      <c r="G117">
        <v>0</v>
      </c>
    </row>
    <row r="118" spans="1:7">
      <c r="A118">
        <v>58</v>
      </c>
      <c r="B118">
        <v>3</v>
      </c>
      <c r="C118">
        <v>211</v>
      </c>
      <c r="D118">
        <v>165</v>
      </c>
      <c r="E118">
        <v>140</v>
      </c>
      <c r="F118">
        <v>0</v>
      </c>
      <c r="G118">
        <v>0</v>
      </c>
    </row>
    <row r="119" spans="1:7">
      <c r="A119">
        <v>35</v>
      </c>
      <c r="B119">
        <v>4</v>
      </c>
      <c r="C119">
        <v>183</v>
      </c>
      <c r="D119">
        <v>182</v>
      </c>
      <c r="E119">
        <v>138</v>
      </c>
      <c r="F119">
        <v>1.4</v>
      </c>
      <c r="G119">
        <v>0</v>
      </c>
    </row>
    <row r="120" spans="1:7">
      <c r="A120">
        <v>63</v>
      </c>
      <c r="B120">
        <v>4</v>
      </c>
      <c r="C120">
        <v>330</v>
      </c>
      <c r="D120">
        <v>132</v>
      </c>
      <c r="E120">
        <v>130</v>
      </c>
      <c r="F120">
        <v>1.8</v>
      </c>
      <c r="G120">
        <v>1</v>
      </c>
    </row>
    <row r="121" spans="1:7">
      <c r="A121">
        <v>65</v>
      </c>
      <c r="B121">
        <v>4</v>
      </c>
      <c r="C121">
        <v>254</v>
      </c>
      <c r="D121">
        <v>127</v>
      </c>
      <c r="E121">
        <v>135</v>
      </c>
      <c r="F121">
        <v>2.8</v>
      </c>
      <c r="G121">
        <v>1</v>
      </c>
    </row>
    <row r="122" spans="1:7">
      <c r="A122">
        <v>48</v>
      </c>
      <c r="B122">
        <v>4</v>
      </c>
      <c r="C122">
        <v>256</v>
      </c>
      <c r="D122">
        <v>150</v>
      </c>
      <c r="E122">
        <v>130</v>
      </c>
      <c r="F122">
        <v>0</v>
      </c>
      <c r="G122">
        <v>1</v>
      </c>
    </row>
    <row r="123" spans="1:7">
      <c r="A123">
        <v>63</v>
      </c>
      <c r="B123">
        <v>4</v>
      </c>
      <c r="C123">
        <v>371</v>
      </c>
      <c r="D123">
        <v>154</v>
      </c>
      <c r="E123">
        <v>150</v>
      </c>
      <c r="F123">
        <v>4</v>
      </c>
      <c r="G123">
        <v>1</v>
      </c>
    </row>
    <row r="124" spans="1:7">
      <c r="A124">
        <v>51</v>
      </c>
      <c r="B124">
        <v>3</v>
      </c>
      <c r="C124">
        <v>222</v>
      </c>
      <c r="D124">
        <v>143</v>
      </c>
      <c r="E124">
        <v>100</v>
      </c>
      <c r="F124">
        <v>1.2</v>
      </c>
      <c r="G124">
        <v>0</v>
      </c>
    </row>
    <row r="125" spans="1:7">
      <c r="A125">
        <v>55</v>
      </c>
      <c r="B125">
        <v>4</v>
      </c>
      <c r="C125">
        <v>217</v>
      </c>
      <c r="D125">
        <v>111</v>
      </c>
      <c r="E125">
        <v>140</v>
      </c>
      <c r="F125">
        <v>4</v>
      </c>
      <c r="G125">
        <v>1</v>
      </c>
    </row>
    <row r="126" spans="1:7">
      <c r="A126">
        <v>65</v>
      </c>
      <c r="B126">
        <v>1</v>
      </c>
      <c r="C126">
        <v>282</v>
      </c>
      <c r="D126">
        <v>174</v>
      </c>
      <c r="E126">
        <v>138</v>
      </c>
      <c r="F126">
        <v>1.4</v>
      </c>
      <c r="G126">
        <v>1</v>
      </c>
    </row>
    <row r="127" spans="1:7">
      <c r="A127">
        <v>45</v>
      </c>
      <c r="B127">
        <v>2</v>
      </c>
      <c r="C127">
        <v>234</v>
      </c>
      <c r="D127">
        <v>175</v>
      </c>
      <c r="E127">
        <v>130</v>
      </c>
      <c r="F127">
        <v>0.6</v>
      </c>
      <c r="G127">
        <v>0</v>
      </c>
    </row>
    <row r="128" spans="1:7">
      <c r="A128">
        <v>56</v>
      </c>
      <c r="B128">
        <v>4</v>
      </c>
      <c r="C128">
        <v>288</v>
      </c>
      <c r="D128">
        <v>133</v>
      </c>
      <c r="E128">
        <v>170</v>
      </c>
      <c r="F128">
        <v>4</v>
      </c>
      <c r="G128">
        <v>1</v>
      </c>
    </row>
    <row r="129" spans="1:7">
      <c r="A129">
        <v>54</v>
      </c>
      <c r="B129">
        <v>4</v>
      </c>
      <c r="C129">
        <v>239</v>
      </c>
      <c r="D129">
        <v>126</v>
      </c>
      <c r="E129">
        <v>110</v>
      </c>
      <c r="F129">
        <v>2.8</v>
      </c>
      <c r="G129">
        <v>1</v>
      </c>
    </row>
    <row r="130" spans="1:7">
      <c r="A130">
        <v>44</v>
      </c>
      <c r="B130">
        <v>2</v>
      </c>
      <c r="C130">
        <v>220</v>
      </c>
      <c r="D130">
        <v>170</v>
      </c>
      <c r="E130">
        <v>120</v>
      </c>
      <c r="F130">
        <v>0</v>
      </c>
      <c r="G130">
        <v>0</v>
      </c>
    </row>
    <row r="131" spans="1:7">
      <c r="A131">
        <v>62</v>
      </c>
      <c r="B131">
        <v>4</v>
      </c>
      <c r="C131">
        <v>209</v>
      </c>
      <c r="D131">
        <v>163</v>
      </c>
      <c r="E131">
        <v>124</v>
      </c>
      <c r="F131">
        <v>0</v>
      </c>
      <c r="G131">
        <v>0</v>
      </c>
    </row>
    <row r="132" spans="1:7">
      <c r="A132">
        <v>54</v>
      </c>
      <c r="B132">
        <v>3</v>
      </c>
      <c r="C132">
        <v>258</v>
      </c>
      <c r="D132">
        <v>147</v>
      </c>
      <c r="E132">
        <v>120</v>
      </c>
      <c r="F132">
        <v>0.4</v>
      </c>
      <c r="G132">
        <v>0</v>
      </c>
    </row>
    <row r="133" spans="1:7">
      <c r="A133">
        <v>51</v>
      </c>
      <c r="B133">
        <v>3</v>
      </c>
      <c r="C133">
        <v>227</v>
      </c>
      <c r="D133">
        <v>154</v>
      </c>
      <c r="E133">
        <v>94</v>
      </c>
      <c r="F133">
        <v>0</v>
      </c>
      <c r="G133">
        <v>0</v>
      </c>
    </row>
    <row r="134" spans="1:7">
      <c r="A134">
        <v>29</v>
      </c>
      <c r="B134">
        <v>2</v>
      </c>
      <c r="C134">
        <v>204</v>
      </c>
      <c r="D134">
        <v>202</v>
      </c>
      <c r="E134">
        <v>130</v>
      </c>
      <c r="F134">
        <v>0</v>
      </c>
      <c r="G134">
        <v>0</v>
      </c>
    </row>
    <row r="135" spans="1:7">
      <c r="A135">
        <v>51</v>
      </c>
      <c r="B135">
        <v>4</v>
      </c>
      <c r="C135">
        <v>261</v>
      </c>
      <c r="D135">
        <v>186</v>
      </c>
      <c r="E135">
        <v>140</v>
      </c>
      <c r="F135">
        <v>0</v>
      </c>
      <c r="G135">
        <v>0</v>
      </c>
    </row>
    <row r="136" spans="1:7">
      <c r="A136">
        <v>43</v>
      </c>
      <c r="B136">
        <v>3</v>
      </c>
      <c r="C136">
        <v>213</v>
      </c>
      <c r="D136">
        <v>165</v>
      </c>
      <c r="E136">
        <v>122</v>
      </c>
      <c r="F136">
        <v>0.2</v>
      </c>
      <c r="G136">
        <v>0</v>
      </c>
    </row>
    <row r="137" spans="1:7">
      <c r="A137">
        <v>55</v>
      </c>
      <c r="B137">
        <v>2</v>
      </c>
      <c r="C137">
        <v>250</v>
      </c>
      <c r="D137">
        <v>161</v>
      </c>
      <c r="E137">
        <v>135</v>
      </c>
      <c r="F137">
        <v>1.4</v>
      </c>
      <c r="G137">
        <v>0</v>
      </c>
    </row>
    <row r="138" spans="1:7">
      <c r="A138">
        <v>70</v>
      </c>
      <c r="B138">
        <v>4</v>
      </c>
      <c r="C138">
        <v>174</v>
      </c>
      <c r="D138">
        <v>125</v>
      </c>
      <c r="E138">
        <v>145</v>
      </c>
      <c r="F138">
        <v>2.6</v>
      </c>
      <c r="G138">
        <v>1</v>
      </c>
    </row>
    <row r="139" spans="1:7">
      <c r="A139">
        <v>62</v>
      </c>
      <c r="B139">
        <v>2</v>
      </c>
      <c r="C139">
        <v>281</v>
      </c>
      <c r="D139">
        <v>103</v>
      </c>
      <c r="E139">
        <v>120</v>
      </c>
      <c r="F139">
        <v>1.4</v>
      </c>
      <c r="G139">
        <v>1</v>
      </c>
    </row>
    <row r="140" spans="1:7">
      <c r="A140">
        <v>35</v>
      </c>
      <c r="B140">
        <v>4</v>
      </c>
      <c r="C140">
        <v>198</v>
      </c>
      <c r="D140">
        <v>130</v>
      </c>
      <c r="E140">
        <v>120</v>
      </c>
      <c r="F140">
        <v>1.6</v>
      </c>
      <c r="G140">
        <v>1</v>
      </c>
    </row>
    <row r="141" spans="1:7">
      <c r="A141">
        <v>51</v>
      </c>
      <c r="B141">
        <v>3</v>
      </c>
      <c r="C141">
        <v>245</v>
      </c>
      <c r="D141">
        <v>166</v>
      </c>
      <c r="E141">
        <v>125</v>
      </c>
      <c r="F141">
        <v>2.4</v>
      </c>
      <c r="G141">
        <v>0</v>
      </c>
    </row>
    <row r="142" spans="1:7">
      <c r="A142">
        <v>59</v>
      </c>
      <c r="B142">
        <v>2</v>
      </c>
      <c r="C142">
        <v>221</v>
      </c>
      <c r="D142">
        <v>164</v>
      </c>
      <c r="E142">
        <v>140</v>
      </c>
      <c r="F142">
        <v>0</v>
      </c>
      <c r="G142">
        <v>0</v>
      </c>
    </row>
    <row r="143" spans="1:7">
      <c r="A143">
        <v>59</v>
      </c>
      <c r="B143">
        <v>1</v>
      </c>
      <c r="C143">
        <v>288</v>
      </c>
      <c r="D143">
        <v>159</v>
      </c>
      <c r="E143">
        <v>170</v>
      </c>
      <c r="F143">
        <v>0.2</v>
      </c>
      <c r="G143">
        <v>1</v>
      </c>
    </row>
    <row r="144" spans="1:7">
      <c r="A144">
        <v>52</v>
      </c>
      <c r="B144">
        <v>2</v>
      </c>
      <c r="C144">
        <v>205</v>
      </c>
      <c r="D144">
        <v>184</v>
      </c>
      <c r="E144">
        <v>128</v>
      </c>
      <c r="F144">
        <v>0</v>
      </c>
      <c r="G144">
        <v>0</v>
      </c>
    </row>
    <row r="145" spans="1:7">
      <c r="A145">
        <v>64</v>
      </c>
      <c r="B145">
        <v>3</v>
      </c>
      <c r="C145">
        <v>309</v>
      </c>
      <c r="D145">
        <v>131</v>
      </c>
      <c r="E145">
        <v>125</v>
      </c>
      <c r="F145">
        <v>1.8</v>
      </c>
      <c r="G145">
        <v>1</v>
      </c>
    </row>
    <row r="146" spans="1:7">
      <c r="A146">
        <v>58</v>
      </c>
      <c r="B146">
        <v>3</v>
      </c>
      <c r="C146">
        <v>240</v>
      </c>
      <c r="D146">
        <v>154</v>
      </c>
      <c r="E146">
        <v>105</v>
      </c>
      <c r="F146">
        <v>0.6</v>
      </c>
      <c r="G146">
        <v>0</v>
      </c>
    </row>
    <row r="147" spans="1:7">
      <c r="A147">
        <v>47</v>
      </c>
      <c r="B147">
        <v>3</v>
      </c>
      <c r="C147">
        <v>243</v>
      </c>
      <c r="D147">
        <v>152</v>
      </c>
      <c r="E147">
        <v>108</v>
      </c>
      <c r="F147">
        <v>0</v>
      </c>
      <c r="G147">
        <v>1</v>
      </c>
    </row>
    <row r="148" spans="1:7">
      <c r="A148">
        <v>57</v>
      </c>
      <c r="B148">
        <v>4</v>
      </c>
      <c r="C148">
        <v>289</v>
      </c>
      <c r="D148">
        <v>124</v>
      </c>
      <c r="E148">
        <v>165</v>
      </c>
      <c r="F148">
        <v>1</v>
      </c>
      <c r="G148">
        <v>1</v>
      </c>
    </row>
    <row r="149" spans="1:7">
      <c r="A149">
        <v>41</v>
      </c>
      <c r="B149">
        <v>3</v>
      </c>
      <c r="C149">
        <v>250</v>
      </c>
      <c r="D149">
        <v>179</v>
      </c>
      <c r="E149">
        <v>112</v>
      </c>
      <c r="F149">
        <v>0</v>
      </c>
      <c r="G149">
        <v>0</v>
      </c>
    </row>
    <row r="150" spans="1:7">
      <c r="A150">
        <v>45</v>
      </c>
      <c r="B150">
        <v>2</v>
      </c>
      <c r="C150">
        <v>308</v>
      </c>
      <c r="D150">
        <v>170</v>
      </c>
      <c r="E150">
        <v>128</v>
      </c>
      <c r="F150">
        <v>0</v>
      </c>
      <c r="G150">
        <v>0</v>
      </c>
    </row>
    <row r="151" spans="1:7">
      <c r="A151">
        <v>60</v>
      </c>
      <c r="B151">
        <v>3</v>
      </c>
      <c r="C151">
        <v>318</v>
      </c>
      <c r="D151">
        <v>160</v>
      </c>
      <c r="E151">
        <v>102</v>
      </c>
      <c r="F151">
        <v>0</v>
      </c>
      <c r="G151">
        <v>0</v>
      </c>
    </row>
    <row r="152" spans="1:7">
      <c r="A152">
        <v>52</v>
      </c>
      <c r="B152">
        <v>1</v>
      </c>
      <c r="C152">
        <v>298</v>
      </c>
      <c r="D152">
        <v>178</v>
      </c>
      <c r="E152">
        <v>152</v>
      </c>
      <c r="F152">
        <v>1.2</v>
      </c>
      <c r="G152">
        <v>0</v>
      </c>
    </row>
    <row r="153" spans="1:7">
      <c r="A153">
        <v>42</v>
      </c>
      <c r="B153">
        <v>4</v>
      </c>
      <c r="C153">
        <v>265</v>
      </c>
      <c r="D153">
        <v>122</v>
      </c>
      <c r="E153">
        <v>102</v>
      </c>
      <c r="F153">
        <v>0.6</v>
      </c>
      <c r="G153">
        <v>0</v>
      </c>
    </row>
    <row r="154" spans="1:7">
      <c r="A154">
        <v>67</v>
      </c>
      <c r="B154">
        <v>3</v>
      </c>
      <c r="C154">
        <v>371</v>
      </c>
      <c r="D154">
        <v>160</v>
      </c>
      <c r="E154">
        <v>115</v>
      </c>
      <c r="F154">
        <v>1.6</v>
      </c>
      <c r="G154">
        <v>0</v>
      </c>
    </row>
    <row r="155" spans="1:7">
      <c r="A155">
        <v>55</v>
      </c>
      <c r="B155">
        <v>4</v>
      </c>
      <c r="C155">
        <v>289</v>
      </c>
      <c r="D155">
        <v>145</v>
      </c>
      <c r="E155">
        <v>160</v>
      </c>
      <c r="F155">
        <v>0.8</v>
      </c>
      <c r="G155">
        <v>1</v>
      </c>
    </row>
    <row r="156" spans="1:7">
      <c r="A156">
        <v>64</v>
      </c>
      <c r="B156">
        <v>4</v>
      </c>
      <c r="C156">
        <v>246</v>
      </c>
      <c r="D156">
        <v>96</v>
      </c>
      <c r="E156">
        <v>120</v>
      </c>
      <c r="F156">
        <v>2.2</v>
      </c>
      <c r="G156">
        <v>1</v>
      </c>
    </row>
    <row r="157" spans="1:7">
      <c r="A157">
        <v>70</v>
      </c>
      <c r="B157">
        <v>4</v>
      </c>
      <c r="C157">
        <v>322</v>
      </c>
      <c r="D157">
        <v>109</v>
      </c>
      <c r="E157">
        <v>130</v>
      </c>
      <c r="F157">
        <v>2.4</v>
      </c>
      <c r="G157">
        <v>1</v>
      </c>
    </row>
    <row r="158" spans="1:7">
      <c r="A158">
        <v>51</v>
      </c>
      <c r="B158">
        <v>4</v>
      </c>
      <c r="C158">
        <v>299</v>
      </c>
      <c r="D158">
        <v>173</v>
      </c>
      <c r="E158">
        <v>140</v>
      </c>
      <c r="F158">
        <v>1.6</v>
      </c>
      <c r="G158">
        <v>1</v>
      </c>
    </row>
    <row r="159" spans="1:7">
      <c r="A159">
        <v>58</v>
      </c>
      <c r="B159">
        <v>4</v>
      </c>
      <c r="C159">
        <v>300</v>
      </c>
      <c r="D159">
        <v>171</v>
      </c>
      <c r="E159">
        <v>125</v>
      </c>
      <c r="F159">
        <v>0</v>
      </c>
      <c r="G159">
        <v>1</v>
      </c>
    </row>
    <row r="160" spans="1:7">
      <c r="A160">
        <v>60</v>
      </c>
      <c r="B160">
        <v>4</v>
      </c>
      <c r="C160">
        <v>293</v>
      </c>
      <c r="D160">
        <v>170</v>
      </c>
      <c r="E160">
        <v>140</v>
      </c>
      <c r="F160">
        <v>1.2</v>
      </c>
      <c r="G160">
        <v>1</v>
      </c>
    </row>
    <row r="161" spans="1:7">
      <c r="A161">
        <v>68</v>
      </c>
      <c r="B161">
        <v>3</v>
      </c>
      <c r="C161">
        <v>277</v>
      </c>
      <c r="D161">
        <v>151</v>
      </c>
      <c r="E161">
        <v>118</v>
      </c>
      <c r="F161">
        <v>1</v>
      </c>
      <c r="G161">
        <v>0</v>
      </c>
    </row>
    <row r="162" spans="1:7">
      <c r="A162">
        <v>46</v>
      </c>
      <c r="B162">
        <v>2</v>
      </c>
      <c r="C162">
        <v>197</v>
      </c>
      <c r="D162">
        <v>156</v>
      </c>
      <c r="E162">
        <v>101</v>
      </c>
      <c r="F162">
        <v>0</v>
      </c>
      <c r="G162">
        <v>0</v>
      </c>
    </row>
    <row r="163" spans="1:7">
      <c r="A163">
        <v>77</v>
      </c>
      <c r="B163">
        <v>4</v>
      </c>
      <c r="C163">
        <v>304</v>
      </c>
      <c r="D163">
        <v>162</v>
      </c>
      <c r="E163">
        <v>125</v>
      </c>
      <c r="F163">
        <v>0</v>
      </c>
      <c r="G163">
        <v>1</v>
      </c>
    </row>
    <row r="164" spans="1:7">
      <c r="A164">
        <v>54</v>
      </c>
      <c r="B164">
        <v>3</v>
      </c>
      <c r="C164">
        <v>214</v>
      </c>
      <c r="D164">
        <v>158</v>
      </c>
      <c r="E164">
        <v>110</v>
      </c>
      <c r="F164">
        <v>1.6</v>
      </c>
      <c r="G164">
        <v>0</v>
      </c>
    </row>
    <row r="165" spans="1:7">
      <c r="A165">
        <v>58</v>
      </c>
      <c r="B165">
        <v>4</v>
      </c>
      <c r="C165">
        <v>248</v>
      </c>
      <c r="D165">
        <v>122</v>
      </c>
      <c r="E165">
        <v>100</v>
      </c>
      <c r="F165">
        <v>1</v>
      </c>
      <c r="G165">
        <v>0</v>
      </c>
    </row>
    <row r="166" spans="1:7">
      <c r="A166">
        <v>48</v>
      </c>
      <c r="B166">
        <v>3</v>
      </c>
      <c r="C166">
        <v>255</v>
      </c>
      <c r="D166">
        <v>175</v>
      </c>
      <c r="E166">
        <v>124</v>
      </c>
      <c r="F166">
        <v>0</v>
      </c>
      <c r="G166">
        <v>0</v>
      </c>
    </row>
    <row r="167" spans="1:7">
      <c r="A167">
        <v>57</v>
      </c>
      <c r="B167">
        <v>4</v>
      </c>
      <c r="C167">
        <v>207</v>
      </c>
      <c r="D167">
        <v>168</v>
      </c>
      <c r="E167">
        <v>132</v>
      </c>
      <c r="F167">
        <v>0</v>
      </c>
      <c r="G167">
        <v>0</v>
      </c>
    </row>
    <row r="168" spans="1:7">
      <c r="A168">
        <v>52</v>
      </c>
      <c r="B168">
        <v>3</v>
      </c>
      <c r="C168">
        <v>223</v>
      </c>
      <c r="D168">
        <v>169</v>
      </c>
      <c r="E168">
        <v>138</v>
      </c>
      <c r="F168">
        <v>0</v>
      </c>
      <c r="G168">
        <v>0</v>
      </c>
    </row>
    <row r="169" spans="1:7">
      <c r="A169">
        <v>54</v>
      </c>
      <c r="B169">
        <v>2</v>
      </c>
      <c r="C169">
        <v>288</v>
      </c>
      <c r="D169">
        <v>159</v>
      </c>
      <c r="E169">
        <v>132</v>
      </c>
      <c r="F169">
        <v>0</v>
      </c>
      <c r="G169">
        <v>0</v>
      </c>
    </row>
    <row r="170" spans="1:7">
      <c r="A170">
        <v>35</v>
      </c>
      <c r="B170">
        <v>4</v>
      </c>
      <c r="C170">
        <v>282</v>
      </c>
      <c r="D170">
        <v>156</v>
      </c>
      <c r="E170">
        <v>126</v>
      </c>
      <c r="F170">
        <v>0</v>
      </c>
      <c r="G170">
        <v>1</v>
      </c>
    </row>
    <row r="171" spans="1:7">
      <c r="A171">
        <v>45</v>
      </c>
      <c r="B171">
        <v>2</v>
      </c>
      <c r="C171">
        <v>160</v>
      </c>
      <c r="D171">
        <v>138</v>
      </c>
      <c r="E171">
        <v>112</v>
      </c>
      <c r="F171">
        <v>0</v>
      </c>
      <c r="G171">
        <v>0</v>
      </c>
    </row>
    <row r="172" spans="1:7">
      <c r="A172">
        <v>70</v>
      </c>
      <c r="B172">
        <v>3</v>
      </c>
      <c r="C172">
        <v>269</v>
      </c>
      <c r="D172">
        <v>112</v>
      </c>
      <c r="E172">
        <v>160</v>
      </c>
      <c r="F172">
        <v>2.9</v>
      </c>
      <c r="G172">
        <v>1</v>
      </c>
    </row>
    <row r="173" spans="1:7">
      <c r="A173">
        <v>53</v>
      </c>
      <c r="B173">
        <v>4</v>
      </c>
      <c r="C173">
        <v>226</v>
      </c>
      <c r="D173">
        <v>111</v>
      </c>
      <c r="E173">
        <v>142</v>
      </c>
      <c r="F173">
        <v>0</v>
      </c>
      <c r="G173">
        <v>0</v>
      </c>
    </row>
    <row r="174" spans="1:7">
      <c r="A174">
        <v>59</v>
      </c>
      <c r="B174">
        <v>4</v>
      </c>
      <c r="C174">
        <v>249</v>
      </c>
      <c r="D174">
        <v>143</v>
      </c>
      <c r="E174">
        <v>170</v>
      </c>
      <c r="F174">
        <v>0</v>
      </c>
      <c r="G174">
        <v>1</v>
      </c>
    </row>
    <row r="175" spans="1:7">
      <c r="A175">
        <v>62</v>
      </c>
      <c r="B175">
        <v>4</v>
      </c>
      <c r="C175">
        <v>371</v>
      </c>
      <c r="D175">
        <v>157</v>
      </c>
      <c r="E175">
        <v>140</v>
      </c>
      <c r="F175">
        <v>1.2</v>
      </c>
      <c r="G175">
        <v>0</v>
      </c>
    </row>
    <row r="176" spans="1:7">
      <c r="A176">
        <v>64</v>
      </c>
      <c r="B176">
        <v>4</v>
      </c>
      <c r="C176">
        <v>212</v>
      </c>
      <c r="D176">
        <v>132</v>
      </c>
      <c r="E176">
        <v>145</v>
      </c>
      <c r="F176">
        <v>2</v>
      </c>
      <c r="G176">
        <v>1</v>
      </c>
    </row>
    <row r="177" spans="1:7">
      <c r="A177">
        <v>57</v>
      </c>
      <c r="B177">
        <v>4</v>
      </c>
      <c r="C177">
        <v>274</v>
      </c>
      <c r="D177">
        <v>88</v>
      </c>
      <c r="E177">
        <v>152</v>
      </c>
      <c r="F177">
        <v>1.2</v>
      </c>
      <c r="G177">
        <v>1</v>
      </c>
    </row>
    <row r="178" spans="1:7">
      <c r="A178">
        <v>52</v>
      </c>
      <c r="B178">
        <v>4</v>
      </c>
      <c r="C178">
        <v>233</v>
      </c>
      <c r="D178">
        <v>147</v>
      </c>
      <c r="E178">
        <v>108</v>
      </c>
      <c r="F178">
        <v>0.1</v>
      </c>
      <c r="G178">
        <v>0</v>
      </c>
    </row>
    <row r="179" spans="1:7">
      <c r="A179">
        <v>56</v>
      </c>
      <c r="B179">
        <v>4</v>
      </c>
      <c r="C179">
        <v>184</v>
      </c>
      <c r="D179">
        <v>105</v>
      </c>
      <c r="E179">
        <v>132</v>
      </c>
      <c r="F179">
        <v>2.1</v>
      </c>
      <c r="G179">
        <v>1</v>
      </c>
    </row>
    <row r="180" spans="1:7">
      <c r="A180">
        <v>43</v>
      </c>
      <c r="B180">
        <v>3</v>
      </c>
      <c r="C180">
        <v>315</v>
      </c>
      <c r="D180">
        <v>162</v>
      </c>
      <c r="E180">
        <v>130</v>
      </c>
      <c r="F180">
        <v>1.9</v>
      </c>
      <c r="G180">
        <v>0</v>
      </c>
    </row>
    <row r="181" spans="1:7">
      <c r="A181">
        <v>53</v>
      </c>
      <c r="B181">
        <v>3</v>
      </c>
      <c r="C181">
        <v>246</v>
      </c>
      <c r="D181">
        <v>173</v>
      </c>
      <c r="E181">
        <v>130</v>
      </c>
      <c r="F181">
        <v>0</v>
      </c>
      <c r="G181">
        <v>0</v>
      </c>
    </row>
    <row r="182" spans="1:7">
      <c r="A182">
        <v>48</v>
      </c>
      <c r="B182">
        <v>4</v>
      </c>
      <c r="C182">
        <v>274</v>
      </c>
      <c r="D182">
        <v>166</v>
      </c>
      <c r="E182">
        <v>124</v>
      </c>
      <c r="F182">
        <v>0.5</v>
      </c>
      <c r="G182">
        <v>1</v>
      </c>
    </row>
    <row r="183" spans="1:7">
      <c r="A183">
        <v>56</v>
      </c>
      <c r="B183">
        <v>4</v>
      </c>
      <c r="C183">
        <v>371</v>
      </c>
      <c r="D183">
        <v>150</v>
      </c>
      <c r="E183">
        <v>134</v>
      </c>
      <c r="F183">
        <v>1.9</v>
      </c>
      <c r="G183">
        <v>1</v>
      </c>
    </row>
    <row r="184" spans="1:7">
      <c r="A184">
        <v>42</v>
      </c>
      <c r="B184">
        <v>1</v>
      </c>
      <c r="C184">
        <v>244</v>
      </c>
      <c r="D184">
        <v>178</v>
      </c>
      <c r="E184">
        <v>148</v>
      </c>
      <c r="F184">
        <v>0.8</v>
      </c>
      <c r="G184">
        <v>0</v>
      </c>
    </row>
    <row r="185" spans="1:7">
      <c r="A185">
        <v>59</v>
      </c>
      <c r="B185">
        <v>1</v>
      </c>
      <c r="C185">
        <v>270</v>
      </c>
      <c r="D185">
        <v>145</v>
      </c>
      <c r="E185">
        <v>170</v>
      </c>
      <c r="F185">
        <v>4</v>
      </c>
      <c r="G185">
        <v>0</v>
      </c>
    </row>
    <row r="186" spans="1:7">
      <c r="A186">
        <v>60</v>
      </c>
      <c r="B186">
        <v>4</v>
      </c>
      <c r="C186">
        <v>305</v>
      </c>
      <c r="D186">
        <v>161</v>
      </c>
      <c r="E186">
        <v>158</v>
      </c>
      <c r="F186">
        <v>0</v>
      </c>
      <c r="G186">
        <v>1</v>
      </c>
    </row>
    <row r="187" spans="1:7">
      <c r="A187">
        <v>63</v>
      </c>
      <c r="B187">
        <v>2</v>
      </c>
      <c r="C187">
        <v>195</v>
      </c>
      <c r="D187">
        <v>179</v>
      </c>
      <c r="E187">
        <v>140</v>
      </c>
      <c r="F187">
        <v>0</v>
      </c>
      <c r="G187">
        <v>0</v>
      </c>
    </row>
    <row r="188" spans="1:7">
      <c r="A188">
        <v>42</v>
      </c>
      <c r="B188">
        <v>3</v>
      </c>
      <c r="C188">
        <v>240</v>
      </c>
      <c r="D188">
        <v>194</v>
      </c>
      <c r="E188">
        <v>120</v>
      </c>
      <c r="F188">
        <v>0.8</v>
      </c>
      <c r="G188">
        <v>0</v>
      </c>
    </row>
    <row r="189" spans="1:7">
      <c r="A189">
        <v>66</v>
      </c>
      <c r="B189">
        <v>2</v>
      </c>
      <c r="C189">
        <v>246</v>
      </c>
      <c r="D189">
        <v>120</v>
      </c>
      <c r="E189">
        <v>160</v>
      </c>
      <c r="F189">
        <v>0</v>
      </c>
      <c r="G189">
        <v>1</v>
      </c>
    </row>
    <row r="190" spans="1:7">
      <c r="A190">
        <v>54</v>
      </c>
      <c r="B190">
        <v>2</v>
      </c>
      <c r="C190">
        <v>283</v>
      </c>
      <c r="D190">
        <v>195</v>
      </c>
      <c r="E190">
        <v>170</v>
      </c>
      <c r="F190">
        <v>0</v>
      </c>
      <c r="G190">
        <v>1</v>
      </c>
    </row>
    <row r="191" spans="1:7">
      <c r="A191">
        <v>69</v>
      </c>
      <c r="B191">
        <v>3</v>
      </c>
      <c r="C191">
        <v>254</v>
      </c>
      <c r="D191">
        <v>146</v>
      </c>
      <c r="E191">
        <v>140</v>
      </c>
      <c r="F191">
        <v>2</v>
      </c>
      <c r="G191">
        <v>1</v>
      </c>
    </row>
    <row r="192" spans="1:7">
      <c r="A192">
        <v>50</v>
      </c>
      <c r="B192">
        <v>3</v>
      </c>
      <c r="C192">
        <v>196</v>
      </c>
      <c r="D192">
        <v>163</v>
      </c>
      <c r="E192">
        <v>129</v>
      </c>
      <c r="F192">
        <v>0</v>
      </c>
      <c r="G192">
        <v>0</v>
      </c>
    </row>
    <row r="193" spans="1:7">
      <c r="A193">
        <v>51</v>
      </c>
      <c r="B193">
        <v>4</v>
      </c>
      <c r="C193">
        <v>298</v>
      </c>
      <c r="D193">
        <v>122</v>
      </c>
      <c r="E193">
        <v>140</v>
      </c>
      <c r="F193">
        <v>4</v>
      </c>
      <c r="G193">
        <v>1</v>
      </c>
    </row>
    <row r="194" spans="1:7">
      <c r="A194">
        <v>43</v>
      </c>
      <c r="B194">
        <v>4</v>
      </c>
      <c r="C194">
        <v>247</v>
      </c>
      <c r="D194">
        <v>143</v>
      </c>
      <c r="E194">
        <v>132</v>
      </c>
      <c r="F194">
        <v>0.1</v>
      </c>
      <c r="G194">
        <v>1</v>
      </c>
    </row>
    <row r="195" spans="1:7">
      <c r="A195">
        <v>62</v>
      </c>
      <c r="B195">
        <v>4</v>
      </c>
      <c r="C195">
        <v>294</v>
      </c>
      <c r="D195">
        <v>106</v>
      </c>
      <c r="E195">
        <v>138</v>
      </c>
      <c r="F195">
        <v>1.9</v>
      </c>
      <c r="G195">
        <v>1</v>
      </c>
    </row>
    <row r="196" spans="1:7">
      <c r="A196">
        <v>68</v>
      </c>
      <c r="B196">
        <v>3</v>
      </c>
      <c r="C196">
        <v>211</v>
      </c>
      <c r="D196">
        <v>115</v>
      </c>
      <c r="E196">
        <v>120</v>
      </c>
      <c r="F196">
        <v>1.5</v>
      </c>
      <c r="G196">
        <v>0</v>
      </c>
    </row>
    <row r="197" spans="1:7">
      <c r="A197">
        <v>67</v>
      </c>
      <c r="B197">
        <v>4</v>
      </c>
      <c r="C197">
        <v>299</v>
      </c>
      <c r="D197">
        <v>125</v>
      </c>
      <c r="E197">
        <v>100</v>
      </c>
      <c r="F197">
        <v>0.9</v>
      </c>
      <c r="G197">
        <v>1</v>
      </c>
    </row>
    <row r="198" spans="1:7">
      <c r="A198">
        <v>69</v>
      </c>
      <c r="B198">
        <v>1</v>
      </c>
      <c r="C198">
        <v>234</v>
      </c>
      <c r="D198">
        <v>131</v>
      </c>
      <c r="E198">
        <v>160</v>
      </c>
      <c r="F198">
        <v>0.1</v>
      </c>
      <c r="G198">
        <v>0</v>
      </c>
    </row>
    <row r="199" spans="1:7">
      <c r="A199">
        <v>45</v>
      </c>
      <c r="B199">
        <v>4</v>
      </c>
      <c r="C199">
        <v>236</v>
      </c>
      <c r="D199">
        <v>152</v>
      </c>
      <c r="E199">
        <v>138</v>
      </c>
      <c r="F199">
        <v>0.2</v>
      </c>
      <c r="G199">
        <v>0</v>
      </c>
    </row>
    <row r="200" spans="1:7">
      <c r="A200">
        <v>50</v>
      </c>
      <c r="B200">
        <v>2</v>
      </c>
      <c r="C200">
        <v>244</v>
      </c>
      <c r="D200">
        <v>162</v>
      </c>
      <c r="E200">
        <v>120</v>
      </c>
      <c r="F200">
        <v>1.1</v>
      </c>
      <c r="G200">
        <v>0</v>
      </c>
    </row>
    <row r="201" spans="1:7">
      <c r="A201">
        <v>59</v>
      </c>
      <c r="B201">
        <v>1</v>
      </c>
      <c r="C201">
        <v>273</v>
      </c>
      <c r="D201">
        <v>125</v>
      </c>
      <c r="E201">
        <v>160</v>
      </c>
      <c r="F201">
        <v>0</v>
      </c>
      <c r="G201">
        <v>1</v>
      </c>
    </row>
    <row r="202" spans="1:7">
      <c r="A202">
        <v>50</v>
      </c>
      <c r="B202">
        <v>4</v>
      </c>
      <c r="C202">
        <v>254</v>
      </c>
      <c r="D202">
        <v>159</v>
      </c>
      <c r="E202">
        <v>110</v>
      </c>
      <c r="F202">
        <v>0</v>
      </c>
      <c r="G202">
        <v>0</v>
      </c>
    </row>
    <row r="203" spans="1:7">
      <c r="A203">
        <v>64</v>
      </c>
      <c r="B203">
        <v>4</v>
      </c>
      <c r="C203">
        <v>325</v>
      </c>
      <c r="D203">
        <v>154</v>
      </c>
      <c r="E203">
        <v>170</v>
      </c>
      <c r="F203">
        <v>0</v>
      </c>
      <c r="G203">
        <v>0</v>
      </c>
    </row>
    <row r="204" spans="1:7">
      <c r="A204">
        <v>57</v>
      </c>
      <c r="B204">
        <v>3</v>
      </c>
      <c r="C204">
        <v>126</v>
      </c>
      <c r="D204">
        <v>173</v>
      </c>
      <c r="E204">
        <v>150</v>
      </c>
      <c r="F204">
        <v>0.2</v>
      </c>
      <c r="G204">
        <v>0</v>
      </c>
    </row>
    <row r="205" spans="1:7">
      <c r="A205">
        <v>64</v>
      </c>
      <c r="B205">
        <v>3</v>
      </c>
      <c r="C205">
        <v>313</v>
      </c>
      <c r="D205">
        <v>133</v>
      </c>
      <c r="E205">
        <v>140</v>
      </c>
      <c r="F205">
        <v>0.2</v>
      </c>
      <c r="G205">
        <v>0</v>
      </c>
    </row>
    <row r="206" spans="1:7">
      <c r="A206">
        <v>43</v>
      </c>
      <c r="B206">
        <v>4</v>
      </c>
      <c r="C206">
        <v>211</v>
      </c>
      <c r="D206">
        <v>161</v>
      </c>
      <c r="E206">
        <v>110</v>
      </c>
      <c r="F206">
        <v>0</v>
      </c>
      <c r="G206">
        <v>0</v>
      </c>
    </row>
    <row r="207" spans="1:7">
      <c r="A207">
        <v>45</v>
      </c>
      <c r="B207">
        <v>4</v>
      </c>
      <c r="C207">
        <v>309</v>
      </c>
      <c r="D207">
        <v>147</v>
      </c>
      <c r="E207">
        <v>142</v>
      </c>
      <c r="F207">
        <v>0</v>
      </c>
      <c r="G207">
        <v>1</v>
      </c>
    </row>
    <row r="208" spans="1:7">
      <c r="A208">
        <v>58</v>
      </c>
      <c r="B208">
        <v>4</v>
      </c>
      <c r="C208">
        <v>259</v>
      </c>
      <c r="D208">
        <v>130</v>
      </c>
      <c r="E208">
        <v>128</v>
      </c>
      <c r="F208">
        <v>3</v>
      </c>
      <c r="G208">
        <v>1</v>
      </c>
    </row>
    <row r="209" spans="1:7">
      <c r="A209">
        <v>50</v>
      </c>
      <c r="B209">
        <v>4</v>
      </c>
      <c r="C209">
        <v>200</v>
      </c>
      <c r="D209">
        <v>126</v>
      </c>
      <c r="E209">
        <v>144</v>
      </c>
      <c r="F209">
        <v>0.9</v>
      </c>
      <c r="G209">
        <v>1</v>
      </c>
    </row>
    <row r="210" spans="1:7">
      <c r="A210">
        <v>55</v>
      </c>
      <c r="B210">
        <v>2</v>
      </c>
      <c r="C210">
        <v>262</v>
      </c>
      <c r="D210">
        <v>155</v>
      </c>
      <c r="E210">
        <v>130</v>
      </c>
      <c r="F210">
        <v>0</v>
      </c>
      <c r="G210">
        <v>0</v>
      </c>
    </row>
    <row r="211" spans="1:7">
      <c r="A211">
        <v>62</v>
      </c>
      <c r="B211">
        <v>4</v>
      </c>
      <c r="C211">
        <v>244</v>
      </c>
      <c r="D211">
        <v>154</v>
      </c>
      <c r="E211">
        <v>150</v>
      </c>
      <c r="F211">
        <v>1.4</v>
      </c>
      <c r="G211">
        <v>1</v>
      </c>
    </row>
    <row r="212" spans="1:7">
      <c r="A212">
        <v>37</v>
      </c>
      <c r="B212">
        <v>3</v>
      </c>
      <c r="C212">
        <v>215</v>
      </c>
      <c r="D212">
        <v>170</v>
      </c>
      <c r="E212">
        <v>120</v>
      </c>
      <c r="F212">
        <v>0</v>
      </c>
      <c r="G212">
        <v>0</v>
      </c>
    </row>
    <row r="213" spans="1:7">
      <c r="A213">
        <v>38</v>
      </c>
      <c r="B213">
        <v>1</v>
      </c>
      <c r="C213">
        <v>231</v>
      </c>
      <c r="D213">
        <v>182</v>
      </c>
      <c r="E213">
        <v>120</v>
      </c>
      <c r="F213">
        <v>3.8</v>
      </c>
      <c r="G213">
        <v>1</v>
      </c>
    </row>
    <row r="214" spans="1:7">
      <c r="A214">
        <v>41</v>
      </c>
      <c r="B214">
        <v>3</v>
      </c>
      <c r="C214">
        <v>214</v>
      </c>
      <c r="D214">
        <v>168</v>
      </c>
      <c r="E214">
        <v>130</v>
      </c>
      <c r="F214">
        <v>2</v>
      </c>
      <c r="G214">
        <v>0</v>
      </c>
    </row>
    <row r="215" spans="1:7">
      <c r="A215">
        <v>66</v>
      </c>
      <c r="B215">
        <v>4</v>
      </c>
      <c r="C215">
        <v>228</v>
      </c>
      <c r="D215">
        <v>165</v>
      </c>
      <c r="E215">
        <v>170</v>
      </c>
      <c r="F215">
        <v>1</v>
      </c>
      <c r="G215">
        <v>1</v>
      </c>
    </row>
    <row r="216" spans="1:7">
      <c r="A216">
        <v>52</v>
      </c>
      <c r="B216">
        <v>4</v>
      </c>
      <c r="C216">
        <v>230</v>
      </c>
      <c r="D216">
        <v>160</v>
      </c>
      <c r="E216">
        <v>112</v>
      </c>
      <c r="F216">
        <v>0</v>
      </c>
      <c r="G216">
        <v>1</v>
      </c>
    </row>
    <row r="217" spans="1:7">
      <c r="A217">
        <v>56</v>
      </c>
      <c r="B217">
        <v>1</v>
      </c>
      <c r="C217">
        <v>193</v>
      </c>
      <c r="D217">
        <v>162</v>
      </c>
      <c r="E217">
        <v>120</v>
      </c>
      <c r="F217">
        <v>1.9</v>
      </c>
      <c r="G217">
        <v>0</v>
      </c>
    </row>
    <row r="218" spans="1:7">
      <c r="A218">
        <v>46</v>
      </c>
      <c r="B218">
        <v>2</v>
      </c>
      <c r="C218">
        <v>204</v>
      </c>
      <c r="D218">
        <v>172</v>
      </c>
      <c r="E218">
        <v>105</v>
      </c>
      <c r="F218">
        <v>0</v>
      </c>
      <c r="G218">
        <v>0</v>
      </c>
    </row>
    <row r="219" spans="1:7">
      <c r="A219">
        <v>46</v>
      </c>
      <c r="B219">
        <v>4</v>
      </c>
      <c r="C219">
        <v>243</v>
      </c>
      <c r="D219">
        <v>152</v>
      </c>
      <c r="E219">
        <v>138</v>
      </c>
      <c r="F219">
        <v>0</v>
      </c>
      <c r="G219">
        <v>0</v>
      </c>
    </row>
    <row r="220" spans="1:7">
      <c r="A220">
        <v>64</v>
      </c>
      <c r="B220">
        <v>4</v>
      </c>
      <c r="C220">
        <v>303</v>
      </c>
      <c r="D220">
        <v>122</v>
      </c>
      <c r="E220">
        <v>130</v>
      </c>
      <c r="F220">
        <v>2</v>
      </c>
      <c r="G220">
        <v>0</v>
      </c>
    </row>
    <row r="221" spans="1:7">
      <c r="A221">
        <v>59</v>
      </c>
      <c r="B221">
        <v>4</v>
      </c>
      <c r="C221">
        <v>271</v>
      </c>
      <c r="D221">
        <v>182</v>
      </c>
      <c r="E221">
        <v>138</v>
      </c>
      <c r="F221">
        <v>0</v>
      </c>
      <c r="G221">
        <v>0</v>
      </c>
    </row>
    <row r="222" spans="1:7">
      <c r="A222">
        <v>41</v>
      </c>
      <c r="B222">
        <v>3</v>
      </c>
      <c r="C222">
        <v>268</v>
      </c>
      <c r="D222">
        <v>172</v>
      </c>
      <c r="E222">
        <v>112</v>
      </c>
      <c r="F222">
        <v>0</v>
      </c>
      <c r="G222">
        <v>0</v>
      </c>
    </row>
    <row r="223" spans="1:7">
      <c r="A223">
        <v>54</v>
      </c>
      <c r="B223">
        <v>3</v>
      </c>
      <c r="C223">
        <v>267</v>
      </c>
      <c r="D223">
        <v>167</v>
      </c>
      <c r="E223">
        <v>108</v>
      </c>
      <c r="F223">
        <v>0</v>
      </c>
      <c r="G223">
        <v>0</v>
      </c>
    </row>
    <row r="224" spans="1:7">
      <c r="A224">
        <v>39</v>
      </c>
      <c r="B224">
        <v>3</v>
      </c>
      <c r="C224">
        <v>199</v>
      </c>
      <c r="D224">
        <v>179</v>
      </c>
      <c r="E224">
        <v>94</v>
      </c>
      <c r="F224">
        <v>0</v>
      </c>
      <c r="G224">
        <v>0</v>
      </c>
    </row>
    <row r="225" spans="1:7">
      <c r="A225">
        <v>53</v>
      </c>
      <c r="B225">
        <v>4</v>
      </c>
      <c r="C225">
        <v>282</v>
      </c>
      <c r="D225">
        <v>95</v>
      </c>
      <c r="E225">
        <v>123</v>
      </c>
      <c r="F225">
        <v>2</v>
      </c>
      <c r="G225">
        <v>1</v>
      </c>
    </row>
    <row r="226" spans="1:7">
      <c r="A226">
        <v>63</v>
      </c>
      <c r="B226">
        <v>4</v>
      </c>
      <c r="C226">
        <v>269</v>
      </c>
      <c r="D226">
        <v>169</v>
      </c>
      <c r="E226">
        <v>108</v>
      </c>
      <c r="F226">
        <v>1.8</v>
      </c>
      <c r="G226">
        <v>1</v>
      </c>
    </row>
    <row r="227" spans="1:7">
      <c r="A227">
        <v>34</v>
      </c>
      <c r="B227">
        <v>2</v>
      </c>
      <c r="C227">
        <v>210</v>
      </c>
      <c r="D227">
        <v>192</v>
      </c>
      <c r="E227">
        <v>118</v>
      </c>
      <c r="F227">
        <v>0.7</v>
      </c>
      <c r="G227">
        <v>0</v>
      </c>
    </row>
    <row r="228" spans="1:7">
      <c r="A228">
        <v>47</v>
      </c>
      <c r="B228">
        <v>4</v>
      </c>
      <c r="C228">
        <v>204</v>
      </c>
      <c r="D228">
        <v>143</v>
      </c>
      <c r="E228">
        <v>112</v>
      </c>
      <c r="F228">
        <v>0.1</v>
      </c>
      <c r="G228">
        <v>0</v>
      </c>
    </row>
    <row r="229" spans="1:7">
      <c r="A229">
        <v>67</v>
      </c>
      <c r="B229">
        <v>3</v>
      </c>
      <c r="C229">
        <v>277</v>
      </c>
      <c r="D229">
        <v>172</v>
      </c>
      <c r="E229">
        <v>152</v>
      </c>
      <c r="F229">
        <v>0</v>
      </c>
      <c r="G229">
        <v>0</v>
      </c>
    </row>
    <row r="230" spans="1:7">
      <c r="A230">
        <v>54</v>
      </c>
      <c r="B230">
        <v>4</v>
      </c>
      <c r="C230">
        <v>206</v>
      </c>
      <c r="D230">
        <v>108</v>
      </c>
      <c r="E230">
        <v>110</v>
      </c>
      <c r="F230">
        <v>0</v>
      </c>
      <c r="G230">
        <v>1</v>
      </c>
    </row>
    <row r="231" spans="1:7">
      <c r="A231">
        <v>66</v>
      </c>
      <c r="B231">
        <v>4</v>
      </c>
      <c r="C231">
        <v>212</v>
      </c>
      <c r="D231">
        <v>132</v>
      </c>
      <c r="E231">
        <v>112</v>
      </c>
      <c r="F231">
        <v>0.1</v>
      </c>
      <c r="G231">
        <v>1</v>
      </c>
    </row>
    <row r="232" spans="1:7">
      <c r="A232">
        <v>52</v>
      </c>
      <c r="B232">
        <v>3</v>
      </c>
      <c r="C232">
        <v>196</v>
      </c>
      <c r="D232">
        <v>169</v>
      </c>
      <c r="E232">
        <v>136</v>
      </c>
      <c r="F232">
        <v>0.1</v>
      </c>
      <c r="G232">
        <v>0</v>
      </c>
    </row>
    <row r="233" spans="1:7">
      <c r="A233">
        <v>55</v>
      </c>
      <c r="B233">
        <v>4</v>
      </c>
      <c r="C233">
        <v>327</v>
      </c>
      <c r="D233">
        <v>117</v>
      </c>
      <c r="E233">
        <v>170</v>
      </c>
      <c r="F233">
        <v>3.4</v>
      </c>
      <c r="G233">
        <v>1</v>
      </c>
    </row>
    <row r="234" spans="1:7">
      <c r="A234">
        <v>49</v>
      </c>
      <c r="B234">
        <v>3</v>
      </c>
      <c r="C234">
        <v>149</v>
      </c>
      <c r="D234">
        <v>126</v>
      </c>
      <c r="E234">
        <v>118</v>
      </c>
      <c r="F234">
        <v>0.8</v>
      </c>
      <c r="G234">
        <v>1</v>
      </c>
    </row>
    <row r="235" spans="1:7">
      <c r="A235">
        <v>74</v>
      </c>
      <c r="B235">
        <v>2</v>
      </c>
      <c r="C235">
        <v>269</v>
      </c>
      <c r="D235">
        <v>121</v>
      </c>
      <c r="E235">
        <v>120</v>
      </c>
      <c r="F235">
        <v>0.2</v>
      </c>
      <c r="G235">
        <v>0</v>
      </c>
    </row>
    <row r="236" spans="1:7">
      <c r="A236">
        <v>54</v>
      </c>
      <c r="B236">
        <v>3</v>
      </c>
      <c r="C236">
        <v>201</v>
      </c>
      <c r="D236">
        <v>163</v>
      </c>
      <c r="E236">
        <v>160</v>
      </c>
      <c r="F236">
        <v>0</v>
      </c>
      <c r="G236">
        <v>0</v>
      </c>
    </row>
    <row r="237" spans="1:7">
      <c r="A237">
        <v>54</v>
      </c>
      <c r="B237">
        <v>4</v>
      </c>
      <c r="C237">
        <v>286</v>
      </c>
      <c r="D237">
        <v>116</v>
      </c>
      <c r="E237">
        <v>122</v>
      </c>
      <c r="F237">
        <v>3.2</v>
      </c>
      <c r="G237">
        <v>1</v>
      </c>
    </row>
    <row r="238" spans="1:7">
      <c r="A238">
        <v>56</v>
      </c>
      <c r="B238">
        <v>4</v>
      </c>
      <c r="C238">
        <v>283</v>
      </c>
      <c r="D238">
        <v>103</v>
      </c>
      <c r="E238">
        <v>130</v>
      </c>
      <c r="F238">
        <v>1.6</v>
      </c>
      <c r="G238">
        <v>1</v>
      </c>
    </row>
    <row r="239" spans="1:7">
      <c r="A239">
        <v>46</v>
      </c>
      <c r="B239">
        <v>4</v>
      </c>
      <c r="C239">
        <v>249</v>
      </c>
      <c r="D239">
        <v>144</v>
      </c>
      <c r="E239">
        <v>120</v>
      </c>
      <c r="F239">
        <v>0.8</v>
      </c>
      <c r="G239">
        <v>1</v>
      </c>
    </row>
    <row r="240" spans="1:7">
      <c r="A240">
        <v>49</v>
      </c>
      <c r="B240">
        <v>2</v>
      </c>
      <c r="C240">
        <v>271</v>
      </c>
      <c r="D240">
        <v>162</v>
      </c>
      <c r="E240">
        <v>134</v>
      </c>
      <c r="F240">
        <v>0</v>
      </c>
      <c r="G240">
        <v>0</v>
      </c>
    </row>
    <row r="241" spans="1:7">
      <c r="A241">
        <v>42</v>
      </c>
      <c r="B241">
        <v>2</v>
      </c>
      <c r="C241">
        <v>295</v>
      </c>
      <c r="D241">
        <v>162</v>
      </c>
      <c r="E241">
        <v>120</v>
      </c>
      <c r="F241">
        <v>0</v>
      </c>
      <c r="G241">
        <v>0</v>
      </c>
    </row>
    <row r="242" spans="1:7">
      <c r="A242">
        <v>41</v>
      </c>
      <c r="B242">
        <v>2</v>
      </c>
      <c r="C242">
        <v>235</v>
      </c>
      <c r="D242">
        <v>153</v>
      </c>
      <c r="E242">
        <v>110</v>
      </c>
      <c r="F242">
        <v>0</v>
      </c>
      <c r="G242">
        <v>0</v>
      </c>
    </row>
    <row r="243" spans="1:7">
      <c r="A243">
        <v>41</v>
      </c>
      <c r="B243">
        <v>2</v>
      </c>
      <c r="C243">
        <v>306</v>
      </c>
      <c r="D243">
        <v>163</v>
      </c>
      <c r="E243">
        <v>126</v>
      </c>
      <c r="F243">
        <v>0</v>
      </c>
      <c r="G243">
        <v>0</v>
      </c>
    </row>
    <row r="244" spans="1:7">
      <c r="A244">
        <v>49</v>
      </c>
      <c r="B244">
        <v>4</v>
      </c>
      <c r="C244">
        <v>269</v>
      </c>
      <c r="D244">
        <v>163</v>
      </c>
      <c r="E244">
        <v>130</v>
      </c>
      <c r="F244">
        <v>0</v>
      </c>
      <c r="G244">
        <v>0</v>
      </c>
    </row>
    <row r="245" spans="1:7">
      <c r="A245">
        <v>61</v>
      </c>
      <c r="B245">
        <v>1</v>
      </c>
      <c r="C245">
        <v>234</v>
      </c>
      <c r="D245">
        <v>145</v>
      </c>
      <c r="E245">
        <v>134</v>
      </c>
      <c r="F245">
        <v>2.6</v>
      </c>
      <c r="G245">
        <v>1</v>
      </c>
    </row>
    <row r="246" spans="1:7">
      <c r="A246">
        <v>60</v>
      </c>
      <c r="B246">
        <v>3</v>
      </c>
      <c r="C246">
        <v>178</v>
      </c>
      <c r="D246">
        <v>96</v>
      </c>
      <c r="E246">
        <v>120</v>
      </c>
      <c r="F246">
        <v>0</v>
      </c>
      <c r="G246">
        <v>0</v>
      </c>
    </row>
    <row r="247" spans="1:7">
      <c r="A247">
        <v>67</v>
      </c>
      <c r="B247">
        <v>4</v>
      </c>
      <c r="C247">
        <v>237</v>
      </c>
      <c r="D247">
        <v>84.75</v>
      </c>
      <c r="E247">
        <v>120</v>
      </c>
      <c r="F247">
        <v>1</v>
      </c>
      <c r="G247">
        <v>1</v>
      </c>
    </row>
    <row r="248" spans="1:7">
      <c r="A248">
        <v>58</v>
      </c>
      <c r="B248">
        <v>4</v>
      </c>
      <c r="C248">
        <v>234</v>
      </c>
      <c r="D248">
        <v>156</v>
      </c>
      <c r="E248">
        <v>100</v>
      </c>
      <c r="F248">
        <v>0.1</v>
      </c>
      <c r="G248">
        <v>1</v>
      </c>
    </row>
    <row r="249" spans="1:7">
      <c r="A249">
        <v>47</v>
      </c>
      <c r="B249">
        <v>4</v>
      </c>
      <c r="C249">
        <v>275</v>
      </c>
      <c r="D249">
        <v>118</v>
      </c>
      <c r="E249">
        <v>110</v>
      </c>
      <c r="F249">
        <v>1</v>
      </c>
      <c r="G249">
        <v>1</v>
      </c>
    </row>
    <row r="250" spans="1:7">
      <c r="A250">
        <v>52</v>
      </c>
      <c r="B250">
        <v>4</v>
      </c>
      <c r="C250">
        <v>212</v>
      </c>
      <c r="D250">
        <v>168</v>
      </c>
      <c r="E250">
        <v>125</v>
      </c>
      <c r="F250">
        <v>1</v>
      </c>
      <c r="G250">
        <v>1</v>
      </c>
    </row>
    <row r="251" spans="1:7">
      <c r="A251">
        <v>62</v>
      </c>
      <c r="B251">
        <v>2</v>
      </c>
      <c r="C251">
        <v>208</v>
      </c>
      <c r="D251">
        <v>140</v>
      </c>
      <c r="E251">
        <v>128</v>
      </c>
      <c r="F251">
        <v>0</v>
      </c>
      <c r="G251">
        <v>0</v>
      </c>
    </row>
    <row r="252" spans="1:7">
      <c r="A252">
        <v>57</v>
      </c>
      <c r="B252">
        <v>4</v>
      </c>
      <c r="C252">
        <v>201</v>
      </c>
      <c r="D252">
        <v>126</v>
      </c>
      <c r="E252">
        <v>110</v>
      </c>
      <c r="F252">
        <v>1.5</v>
      </c>
      <c r="G252">
        <v>0</v>
      </c>
    </row>
    <row r="253" spans="1:7">
      <c r="A253">
        <v>58</v>
      </c>
      <c r="B253">
        <v>4</v>
      </c>
      <c r="C253">
        <v>218</v>
      </c>
      <c r="D253">
        <v>105</v>
      </c>
      <c r="E253">
        <v>146</v>
      </c>
      <c r="F253">
        <v>2</v>
      </c>
      <c r="G253">
        <v>1</v>
      </c>
    </row>
    <row r="254" spans="1:7">
      <c r="A254">
        <v>64</v>
      </c>
      <c r="B254">
        <v>4</v>
      </c>
      <c r="C254">
        <v>263</v>
      </c>
      <c r="D254">
        <v>105</v>
      </c>
      <c r="E254">
        <v>128</v>
      </c>
      <c r="F254">
        <v>0.2</v>
      </c>
      <c r="G254">
        <v>0</v>
      </c>
    </row>
    <row r="255" spans="1:7">
      <c r="A255">
        <v>51</v>
      </c>
      <c r="B255">
        <v>3</v>
      </c>
      <c r="C255">
        <v>295</v>
      </c>
      <c r="D255">
        <v>157</v>
      </c>
      <c r="E255">
        <v>120</v>
      </c>
      <c r="F255">
        <v>0.6</v>
      </c>
      <c r="G255">
        <v>0</v>
      </c>
    </row>
    <row r="256" spans="1:7">
      <c r="A256">
        <v>43</v>
      </c>
      <c r="B256">
        <v>4</v>
      </c>
      <c r="C256">
        <v>303</v>
      </c>
      <c r="D256">
        <v>181</v>
      </c>
      <c r="E256">
        <v>115</v>
      </c>
      <c r="F256">
        <v>1.2</v>
      </c>
      <c r="G256">
        <v>0</v>
      </c>
    </row>
    <row r="257" spans="1:7">
      <c r="A257">
        <v>42</v>
      </c>
      <c r="B257">
        <v>3</v>
      </c>
      <c r="C257">
        <v>209</v>
      </c>
      <c r="D257">
        <v>173</v>
      </c>
      <c r="E257">
        <v>120</v>
      </c>
      <c r="F257">
        <v>0</v>
      </c>
      <c r="G257">
        <v>0</v>
      </c>
    </row>
    <row r="258" spans="1:7">
      <c r="A258">
        <v>67</v>
      </c>
      <c r="B258">
        <v>4</v>
      </c>
      <c r="C258">
        <v>223</v>
      </c>
      <c r="D258">
        <v>142</v>
      </c>
      <c r="E258">
        <v>106</v>
      </c>
      <c r="F258">
        <v>0.3</v>
      </c>
      <c r="G258">
        <v>0</v>
      </c>
    </row>
    <row r="259" spans="1:7">
      <c r="A259">
        <v>76</v>
      </c>
      <c r="B259">
        <v>3</v>
      </c>
      <c r="C259">
        <v>197</v>
      </c>
      <c r="D259">
        <v>116</v>
      </c>
      <c r="E259">
        <v>140</v>
      </c>
      <c r="F259">
        <v>1.1</v>
      </c>
      <c r="G259">
        <v>0</v>
      </c>
    </row>
    <row r="260" spans="1:7">
      <c r="A260">
        <v>70</v>
      </c>
      <c r="B260">
        <v>2</v>
      </c>
      <c r="C260">
        <v>245</v>
      </c>
      <c r="D260">
        <v>143</v>
      </c>
      <c r="E260">
        <v>156</v>
      </c>
      <c r="F260">
        <v>0</v>
      </c>
      <c r="G260">
        <v>0</v>
      </c>
    </row>
    <row r="261" spans="1:7">
      <c r="A261">
        <v>57</v>
      </c>
      <c r="B261">
        <v>2</v>
      </c>
      <c r="C261">
        <v>261</v>
      </c>
      <c r="D261">
        <v>141</v>
      </c>
      <c r="E261">
        <v>124</v>
      </c>
      <c r="F261">
        <v>0.3</v>
      </c>
      <c r="G261">
        <v>1</v>
      </c>
    </row>
    <row r="262" spans="1:7">
      <c r="A262">
        <v>44</v>
      </c>
      <c r="B262">
        <v>3</v>
      </c>
      <c r="C262">
        <v>242</v>
      </c>
      <c r="D262">
        <v>149</v>
      </c>
      <c r="E262">
        <v>118</v>
      </c>
      <c r="F262">
        <v>0.3</v>
      </c>
      <c r="G262">
        <v>0</v>
      </c>
    </row>
    <row r="263" spans="1:7">
      <c r="A263">
        <v>58</v>
      </c>
      <c r="B263">
        <v>2</v>
      </c>
      <c r="C263">
        <v>319</v>
      </c>
      <c r="D263">
        <v>152</v>
      </c>
      <c r="E263">
        <v>136</v>
      </c>
      <c r="F263">
        <v>0</v>
      </c>
      <c r="G263">
        <v>1</v>
      </c>
    </row>
    <row r="264" spans="1:7">
      <c r="A264">
        <v>60</v>
      </c>
      <c r="B264">
        <v>1</v>
      </c>
      <c r="C264">
        <v>240</v>
      </c>
      <c r="D264">
        <v>171</v>
      </c>
      <c r="E264">
        <v>150</v>
      </c>
      <c r="F264">
        <v>0.9</v>
      </c>
      <c r="G264">
        <v>0</v>
      </c>
    </row>
    <row r="265" spans="1:7">
      <c r="A265">
        <v>44</v>
      </c>
      <c r="B265">
        <v>3</v>
      </c>
      <c r="C265">
        <v>226</v>
      </c>
      <c r="D265">
        <v>169</v>
      </c>
      <c r="E265">
        <v>120</v>
      </c>
      <c r="F265">
        <v>0</v>
      </c>
      <c r="G265">
        <v>0</v>
      </c>
    </row>
    <row r="266" spans="1:7">
      <c r="A266">
        <v>61</v>
      </c>
      <c r="B266">
        <v>4</v>
      </c>
      <c r="C266">
        <v>166</v>
      </c>
      <c r="D266">
        <v>125</v>
      </c>
      <c r="E266">
        <v>138</v>
      </c>
      <c r="F266">
        <v>3.6</v>
      </c>
      <c r="G266">
        <v>1</v>
      </c>
    </row>
    <row r="267" spans="1:7">
      <c r="A267">
        <v>42</v>
      </c>
      <c r="B267">
        <v>4</v>
      </c>
      <c r="C267">
        <v>315</v>
      </c>
      <c r="D267">
        <v>125</v>
      </c>
      <c r="E267">
        <v>136</v>
      </c>
      <c r="F267">
        <v>1.8</v>
      </c>
      <c r="G267">
        <v>1</v>
      </c>
    </row>
    <row r="268" spans="1:7">
      <c r="A268">
        <v>52</v>
      </c>
      <c r="B268">
        <v>4</v>
      </c>
      <c r="C268">
        <v>204</v>
      </c>
      <c r="D268">
        <v>156</v>
      </c>
      <c r="E268">
        <v>128</v>
      </c>
      <c r="F268">
        <v>1</v>
      </c>
      <c r="G268">
        <v>1</v>
      </c>
    </row>
    <row r="269" spans="1:7">
      <c r="A269">
        <v>59</v>
      </c>
      <c r="B269">
        <v>3</v>
      </c>
      <c r="C269">
        <v>218</v>
      </c>
      <c r="D269">
        <v>134</v>
      </c>
      <c r="E269">
        <v>126</v>
      </c>
      <c r="F269">
        <v>2.2</v>
      </c>
      <c r="G269">
        <v>1</v>
      </c>
    </row>
    <row r="270" spans="1:7">
      <c r="A270">
        <v>40</v>
      </c>
      <c r="B270">
        <v>4</v>
      </c>
      <c r="C270">
        <v>223</v>
      </c>
      <c r="D270">
        <v>181</v>
      </c>
      <c r="E270">
        <v>152</v>
      </c>
      <c r="F270">
        <v>0</v>
      </c>
      <c r="G270">
        <v>1</v>
      </c>
    </row>
    <row r="271" spans="1:7">
      <c r="A271">
        <v>42</v>
      </c>
      <c r="B271">
        <v>3</v>
      </c>
      <c r="C271">
        <v>180</v>
      </c>
      <c r="D271">
        <v>150</v>
      </c>
      <c r="E271">
        <v>130</v>
      </c>
      <c r="F271">
        <v>0</v>
      </c>
      <c r="G271">
        <v>0</v>
      </c>
    </row>
    <row r="272" spans="1:7">
      <c r="A272">
        <v>61</v>
      </c>
      <c r="B272">
        <v>4</v>
      </c>
      <c r="C272">
        <v>207</v>
      </c>
      <c r="D272">
        <v>138</v>
      </c>
      <c r="E272">
        <v>140</v>
      </c>
      <c r="F272">
        <v>1.9</v>
      </c>
      <c r="G272">
        <v>1</v>
      </c>
    </row>
    <row r="273" spans="1:7">
      <c r="A273">
        <v>66</v>
      </c>
      <c r="B273">
        <v>4</v>
      </c>
      <c r="C273">
        <v>228</v>
      </c>
      <c r="D273">
        <v>138</v>
      </c>
      <c r="E273">
        <v>160</v>
      </c>
      <c r="F273">
        <v>2.3</v>
      </c>
      <c r="G273">
        <v>0</v>
      </c>
    </row>
    <row r="274" spans="1:7">
      <c r="A274">
        <v>46</v>
      </c>
      <c r="B274">
        <v>4</v>
      </c>
      <c r="C274">
        <v>311</v>
      </c>
      <c r="D274">
        <v>120</v>
      </c>
      <c r="E274">
        <v>140</v>
      </c>
      <c r="F274">
        <v>1.8</v>
      </c>
      <c r="G274">
        <v>1</v>
      </c>
    </row>
    <row r="275" spans="1:7">
      <c r="A275">
        <v>71</v>
      </c>
      <c r="B275">
        <v>4</v>
      </c>
      <c r="C275">
        <v>149</v>
      </c>
      <c r="D275">
        <v>125</v>
      </c>
      <c r="E275">
        <v>112</v>
      </c>
      <c r="F275">
        <v>1.6</v>
      </c>
      <c r="G275">
        <v>0</v>
      </c>
    </row>
    <row r="276" spans="1:7">
      <c r="A276">
        <v>59</v>
      </c>
      <c r="B276">
        <v>1</v>
      </c>
      <c r="C276">
        <v>204</v>
      </c>
      <c r="D276">
        <v>162</v>
      </c>
      <c r="E276">
        <v>134</v>
      </c>
      <c r="F276">
        <v>0.8</v>
      </c>
      <c r="G276">
        <v>1</v>
      </c>
    </row>
    <row r="277" spans="1:7">
      <c r="A277">
        <v>64</v>
      </c>
      <c r="B277">
        <v>1</v>
      </c>
      <c r="C277">
        <v>227</v>
      </c>
      <c r="D277">
        <v>155</v>
      </c>
      <c r="E277">
        <v>170</v>
      </c>
      <c r="F277">
        <v>0.6</v>
      </c>
      <c r="G277">
        <v>0</v>
      </c>
    </row>
    <row r="278" spans="1:7">
      <c r="A278">
        <v>66</v>
      </c>
      <c r="B278">
        <v>3</v>
      </c>
      <c r="C278">
        <v>278</v>
      </c>
      <c r="D278">
        <v>152</v>
      </c>
      <c r="E278">
        <v>146</v>
      </c>
      <c r="F278">
        <v>0</v>
      </c>
      <c r="G278">
        <v>0</v>
      </c>
    </row>
    <row r="279" spans="1:7">
      <c r="A279">
        <v>39</v>
      </c>
      <c r="B279">
        <v>3</v>
      </c>
      <c r="C279">
        <v>220</v>
      </c>
      <c r="D279">
        <v>152</v>
      </c>
      <c r="E279">
        <v>138</v>
      </c>
      <c r="F279">
        <v>0</v>
      </c>
      <c r="G279">
        <v>0</v>
      </c>
    </row>
    <row r="280" spans="1:7">
      <c r="A280">
        <v>57</v>
      </c>
      <c r="B280">
        <v>2</v>
      </c>
      <c r="C280">
        <v>232</v>
      </c>
      <c r="D280">
        <v>164</v>
      </c>
      <c r="E280">
        <v>154</v>
      </c>
      <c r="F280">
        <v>0</v>
      </c>
      <c r="G280">
        <v>1</v>
      </c>
    </row>
    <row r="281" spans="1:7">
      <c r="A281">
        <v>58</v>
      </c>
      <c r="B281">
        <v>4</v>
      </c>
      <c r="C281">
        <v>197</v>
      </c>
      <c r="D281">
        <v>131</v>
      </c>
      <c r="E281">
        <v>130</v>
      </c>
      <c r="F281">
        <v>0.6</v>
      </c>
      <c r="G281">
        <v>0</v>
      </c>
    </row>
    <row r="282" spans="1:7">
      <c r="A282">
        <v>57</v>
      </c>
      <c r="B282">
        <v>4</v>
      </c>
      <c r="C282">
        <v>335</v>
      </c>
      <c r="D282">
        <v>143</v>
      </c>
      <c r="E282">
        <v>110</v>
      </c>
      <c r="F282">
        <v>3</v>
      </c>
      <c r="G282">
        <v>1</v>
      </c>
    </row>
    <row r="283" spans="1:7">
      <c r="A283">
        <v>47</v>
      </c>
      <c r="B283">
        <v>3</v>
      </c>
      <c r="C283">
        <v>253</v>
      </c>
      <c r="D283">
        <v>179</v>
      </c>
      <c r="E283">
        <v>130</v>
      </c>
      <c r="F283">
        <v>0</v>
      </c>
      <c r="G283">
        <v>0</v>
      </c>
    </row>
    <row r="284" spans="1:7">
      <c r="A284">
        <v>55</v>
      </c>
      <c r="B284">
        <v>4</v>
      </c>
      <c r="C284">
        <v>205</v>
      </c>
      <c r="D284">
        <v>130</v>
      </c>
      <c r="E284">
        <v>128</v>
      </c>
      <c r="F284">
        <v>2</v>
      </c>
      <c r="G284">
        <v>1</v>
      </c>
    </row>
    <row r="285" spans="1:7">
      <c r="A285">
        <v>35</v>
      </c>
      <c r="B285">
        <v>2</v>
      </c>
      <c r="C285">
        <v>192</v>
      </c>
      <c r="D285">
        <v>174</v>
      </c>
      <c r="E285">
        <v>122</v>
      </c>
      <c r="F285">
        <v>0</v>
      </c>
      <c r="G285">
        <v>0</v>
      </c>
    </row>
    <row r="286" spans="1:7">
      <c r="A286">
        <v>61</v>
      </c>
      <c r="B286">
        <v>4</v>
      </c>
      <c r="C286">
        <v>203</v>
      </c>
      <c r="D286">
        <v>161</v>
      </c>
      <c r="E286">
        <v>148</v>
      </c>
      <c r="F286">
        <v>0</v>
      </c>
      <c r="G286">
        <v>1</v>
      </c>
    </row>
    <row r="287" spans="1:7">
      <c r="A287">
        <v>58</v>
      </c>
      <c r="B287">
        <v>4</v>
      </c>
      <c r="C287">
        <v>318</v>
      </c>
      <c r="D287">
        <v>140</v>
      </c>
      <c r="E287">
        <v>114</v>
      </c>
      <c r="F287">
        <v>4</v>
      </c>
      <c r="G287">
        <v>1</v>
      </c>
    </row>
    <row r="288" spans="1:7">
      <c r="A288">
        <v>58</v>
      </c>
      <c r="B288">
        <v>4</v>
      </c>
      <c r="C288">
        <v>225</v>
      </c>
      <c r="D288">
        <v>146</v>
      </c>
      <c r="E288">
        <v>170</v>
      </c>
      <c r="F288">
        <v>2.8</v>
      </c>
      <c r="G288">
        <v>1</v>
      </c>
    </row>
    <row r="289" spans="1:7">
      <c r="A289">
        <v>58</v>
      </c>
      <c r="B289">
        <v>2</v>
      </c>
      <c r="C289">
        <v>220</v>
      </c>
      <c r="D289">
        <v>144</v>
      </c>
      <c r="E289">
        <v>125</v>
      </c>
      <c r="F289">
        <v>0.4</v>
      </c>
      <c r="G289">
        <v>0</v>
      </c>
    </row>
    <row r="290" spans="1:7">
      <c r="A290">
        <v>56</v>
      </c>
      <c r="B290">
        <v>2</v>
      </c>
      <c r="C290">
        <v>221</v>
      </c>
      <c r="D290">
        <v>163</v>
      </c>
      <c r="E290">
        <v>130</v>
      </c>
      <c r="F290">
        <v>0</v>
      </c>
      <c r="G290">
        <v>0</v>
      </c>
    </row>
    <row r="291" spans="1:7">
      <c r="A291">
        <v>56</v>
      </c>
      <c r="B291">
        <v>2</v>
      </c>
      <c r="C291">
        <v>240</v>
      </c>
      <c r="D291">
        <v>169</v>
      </c>
      <c r="E291">
        <v>120</v>
      </c>
      <c r="F291">
        <v>0</v>
      </c>
      <c r="G291">
        <v>0</v>
      </c>
    </row>
    <row r="292" spans="1:7">
      <c r="A292">
        <v>67</v>
      </c>
      <c r="B292">
        <v>3</v>
      </c>
      <c r="C292">
        <v>212</v>
      </c>
      <c r="D292">
        <v>150</v>
      </c>
      <c r="E292">
        <v>152</v>
      </c>
      <c r="F292">
        <v>0.8</v>
      </c>
      <c r="G292">
        <v>1</v>
      </c>
    </row>
    <row r="293" spans="1:7">
      <c r="A293">
        <v>55</v>
      </c>
      <c r="B293">
        <v>2</v>
      </c>
      <c r="C293">
        <v>342</v>
      </c>
      <c r="D293">
        <v>166</v>
      </c>
      <c r="E293">
        <v>132</v>
      </c>
      <c r="F293">
        <v>1.2</v>
      </c>
      <c r="G293">
        <v>0</v>
      </c>
    </row>
    <row r="294" spans="1:7">
      <c r="A294">
        <v>44</v>
      </c>
      <c r="B294">
        <v>4</v>
      </c>
      <c r="C294">
        <v>169</v>
      </c>
      <c r="D294">
        <v>144</v>
      </c>
      <c r="E294">
        <v>120</v>
      </c>
      <c r="F294">
        <v>2.8</v>
      </c>
      <c r="G294">
        <v>1</v>
      </c>
    </row>
    <row r="295" spans="1:7">
      <c r="A295">
        <v>63</v>
      </c>
      <c r="B295">
        <v>4</v>
      </c>
      <c r="C295">
        <v>187</v>
      </c>
      <c r="D295">
        <v>144</v>
      </c>
      <c r="E295">
        <v>140</v>
      </c>
      <c r="F295">
        <v>4</v>
      </c>
      <c r="G295">
        <v>1</v>
      </c>
    </row>
    <row r="296" spans="1:7">
      <c r="A296">
        <v>63</v>
      </c>
      <c r="B296">
        <v>4</v>
      </c>
      <c r="C296">
        <v>197</v>
      </c>
      <c r="D296">
        <v>136</v>
      </c>
      <c r="E296">
        <v>124</v>
      </c>
      <c r="F296">
        <v>0</v>
      </c>
      <c r="G296">
        <v>1</v>
      </c>
    </row>
    <row r="297" spans="1:7">
      <c r="A297">
        <v>41</v>
      </c>
      <c r="B297">
        <v>2</v>
      </c>
      <c r="C297">
        <v>157</v>
      </c>
      <c r="D297">
        <v>182</v>
      </c>
      <c r="E297">
        <v>120</v>
      </c>
      <c r="F297">
        <v>0</v>
      </c>
      <c r="G297">
        <v>0</v>
      </c>
    </row>
    <row r="298" spans="1:7">
      <c r="A298">
        <v>59</v>
      </c>
      <c r="B298">
        <v>4</v>
      </c>
      <c r="C298">
        <v>176</v>
      </c>
      <c r="D298">
        <v>90</v>
      </c>
      <c r="E298">
        <v>164</v>
      </c>
      <c r="F298">
        <v>1</v>
      </c>
      <c r="G298">
        <v>1</v>
      </c>
    </row>
    <row r="299" spans="1:7">
      <c r="A299">
        <v>57</v>
      </c>
      <c r="B299">
        <v>4</v>
      </c>
      <c r="C299">
        <v>241</v>
      </c>
      <c r="D299">
        <v>123</v>
      </c>
      <c r="E299">
        <v>140</v>
      </c>
      <c r="F299">
        <v>0.2</v>
      </c>
      <c r="G299">
        <v>1</v>
      </c>
    </row>
    <row r="300" spans="1:7">
      <c r="A300">
        <v>45</v>
      </c>
      <c r="B300">
        <v>1</v>
      </c>
      <c r="C300">
        <v>264</v>
      </c>
      <c r="D300">
        <v>132</v>
      </c>
      <c r="E300">
        <v>110</v>
      </c>
      <c r="F300">
        <v>1.2</v>
      </c>
      <c r="G300">
        <v>1</v>
      </c>
    </row>
    <row r="301" spans="1:7">
      <c r="A301">
        <v>68</v>
      </c>
      <c r="B301">
        <v>4</v>
      </c>
      <c r="C301">
        <v>193</v>
      </c>
      <c r="D301">
        <v>141</v>
      </c>
      <c r="E301">
        <v>144</v>
      </c>
      <c r="F301">
        <v>3.4</v>
      </c>
      <c r="G301">
        <v>1</v>
      </c>
    </row>
    <row r="302" spans="1:7">
      <c r="A302">
        <v>57</v>
      </c>
      <c r="B302">
        <v>4</v>
      </c>
      <c r="C302">
        <v>131</v>
      </c>
      <c r="D302">
        <v>115</v>
      </c>
      <c r="E302">
        <v>130</v>
      </c>
      <c r="F302">
        <v>1.2</v>
      </c>
      <c r="G302">
        <v>1</v>
      </c>
    </row>
    <row r="303" spans="1:7">
      <c r="A303">
        <v>57</v>
      </c>
      <c r="B303">
        <v>2</v>
      </c>
      <c r="C303">
        <v>236</v>
      </c>
      <c r="D303">
        <v>174</v>
      </c>
      <c r="E303">
        <v>130</v>
      </c>
      <c r="F303">
        <v>0</v>
      </c>
      <c r="G303">
        <v>1</v>
      </c>
    </row>
    <row r="304" spans="1:7">
      <c r="A304">
        <v>38</v>
      </c>
      <c r="B304">
        <v>3</v>
      </c>
      <c r="C304">
        <v>175</v>
      </c>
      <c r="D304">
        <v>173</v>
      </c>
      <c r="E304">
        <v>138</v>
      </c>
      <c r="F304">
        <v>0</v>
      </c>
      <c r="G30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2" width="16.7109375" customWidth="1"/>
    <col min="3" max="3" width="16.7109375" style="2" customWidth="1"/>
  </cols>
  <sheetData>
    <row r="1" spans="1:3">
      <c r="A1" s="1" t="s">
        <v>18</v>
      </c>
      <c r="B1" s="1" t="s">
        <v>24</v>
      </c>
      <c r="C1" s="1" t="s">
        <v>25</v>
      </c>
    </row>
    <row r="2" spans="1:3">
      <c r="A2">
        <v>1</v>
      </c>
      <c r="B2">
        <v>23</v>
      </c>
      <c r="C2" s="2">
        <v>0.07590759075907591</v>
      </c>
    </row>
    <row r="3" spans="1:3">
      <c r="A3">
        <v>2</v>
      </c>
      <c r="B3">
        <v>50</v>
      </c>
      <c r="C3" s="2">
        <v>0.165016501650165</v>
      </c>
    </row>
    <row r="4" spans="1:3">
      <c r="A4">
        <v>3</v>
      </c>
      <c r="B4">
        <v>86</v>
      </c>
      <c r="C4" s="2">
        <v>0.2838283828382838</v>
      </c>
    </row>
    <row r="5" spans="1:3">
      <c r="A5">
        <v>4</v>
      </c>
      <c r="B5">
        <v>144</v>
      </c>
      <c r="C5" s="2">
        <v>0.4752475247524752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14.7109375" customWidth="1"/>
    <col min="2" max="8" width="13.7109375" style="3" customWidth="1"/>
  </cols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17</v>
      </c>
      <c r="B2" s="3">
        <f>AVERAGE('Heart Raw'!$A$2:$A$304)</f>
        <v>0</v>
      </c>
      <c r="C2" s="3">
        <f>MEDIAN('Heart Raw'!$A$2:$A$304)</f>
        <v>0</v>
      </c>
      <c r="D2" s="3">
        <f>STDEV.S('Heart Raw'!$A$2:$A$304)</f>
        <v>0</v>
      </c>
      <c r="E2" s="3">
        <f>MIN('Heart Raw'!$A$2:$A$304)</f>
        <v>0</v>
      </c>
      <c r="F2" s="3">
        <f>MAX('Heart Raw'!$A$2:$A$304)</f>
        <v>0</v>
      </c>
      <c r="G2" s="3">
        <f>QUARTILE.INC('Heart Raw'!$A$2:$A$304,3)-QUARTILE.INC('Heart Raw'!$A$2:$A$304,1)</f>
        <v>0</v>
      </c>
      <c r="H2" s="3">
        <f>C2/B2</f>
        <v>0</v>
      </c>
    </row>
    <row r="3" spans="1:8">
      <c r="A3" t="s">
        <v>21</v>
      </c>
      <c r="B3" s="3">
        <f>AVERAGE('Heart Raw'!$E$2:$E$304)</f>
        <v>0</v>
      </c>
      <c r="C3" s="3">
        <f>MEDIAN('Heart Raw'!$E$2:$E$304)</f>
        <v>0</v>
      </c>
      <c r="D3" s="3">
        <f>STDEV.S('Heart Raw'!$E$2:$E$304)</f>
        <v>0</v>
      </c>
      <c r="E3" s="3">
        <f>MIN('Heart Raw'!$E$2:$E$304)</f>
        <v>0</v>
      </c>
      <c r="F3" s="3">
        <f>MAX('Heart Raw'!$E$2:$E$304)</f>
        <v>0</v>
      </c>
      <c r="G3" s="3">
        <f>QUARTILE.INC('Heart Raw'!$E$2:$E$304,3)-QUARTILE.INC('Heart Raw'!$E$2:$E$304,1)</f>
        <v>0</v>
      </c>
      <c r="H3" s="3">
        <f>C3/B3</f>
        <v>0</v>
      </c>
    </row>
    <row r="4" spans="1:8">
      <c r="A4" t="s">
        <v>19</v>
      </c>
      <c r="B4" s="3">
        <f>AVERAGE('Heart Raw'!$C$2:$C$304)</f>
        <v>0</v>
      </c>
      <c r="C4" s="3">
        <f>MEDIAN('Heart Raw'!$C$2:$C$304)</f>
        <v>0</v>
      </c>
      <c r="D4" s="3">
        <f>STDEV.S('Heart Raw'!$C$2:$C$304)</f>
        <v>0</v>
      </c>
      <c r="E4" s="3">
        <f>MIN('Heart Raw'!$C$2:$C$304)</f>
        <v>0</v>
      </c>
      <c r="F4" s="3">
        <f>MAX('Heart Raw'!$C$2:$C$304)</f>
        <v>0</v>
      </c>
      <c r="G4" s="3">
        <f>QUARTILE.INC('Heart Raw'!$C$2:$C$304,3)-QUARTILE.INC('Heart Raw'!$C$2:$C$304,1)</f>
        <v>0</v>
      </c>
      <c r="H4" s="3">
        <f>C4/B4</f>
        <v>0</v>
      </c>
    </row>
    <row r="5" spans="1:8">
      <c r="A5" t="s">
        <v>20</v>
      </c>
      <c r="B5" s="3">
        <f>AVERAGE('Heart Raw'!$D$2:$D$304)</f>
        <v>0</v>
      </c>
      <c r="C5" s="3">
        <f>MEDIAN('Heart Raw'!$D$2:$D$304)</f>
        <v>0</v>
      </c>
      <c r="D5" s="3">
        <f>STDEV.S('Heart Raw'!$D$2:$D$304)</f>
        <v>0</v>
      </c>
      <c r="E5" s="3">
        <f>MIN('Heart Raw'!$D$2:$D$304)</f>
        <v>0</v>
      </c>
      <c r="F5" s="3">
        <f>MAX('Heart Raw'!$D$2:$D$304)</f>
        <v>0</v>
      </c>
      <c r="G5" s="3">
        <f>QUARTILE.INC('Heart Raw'!$D$2:$D$304,3)-QUARTILE.INC('Heart Raw'!$D$2:$D$304,1)</f>
        <v>0</v>
      </c>
      <c r="H5" s="3">
        <f>C5/B5</f>
        <v>0</v>
      </c>
    </row>
    <row r="6" spans="1:8">
      <c r="A6" t="s">
        <v>22</v>
      </c>
      <c r="B6" s="3">
        <f>AVERAGE('Heart Raw'!$F$2:$F$304)</f>
        <v>0</v>
      </c>
      <c r="C6" s="3">
        <f>MEDIAN('Heart Raw'!$F$2:$F$304)</f>
        <v>0</v>
      </c>
      <c r="D6" s="3">
        <f>STDEV.S('Heart Raw'!$F$2:$F$304)</f>
        <v>0</v>
      </c>
      <c r="E6" s="3">
        <f>MIN('Heart Raw'!$F$2:$F$304)</f>
        <v>0</v>
      </c>
      <c r="F6" s="3">
        <f>MAX('Heart Raw'!$F$2:$F$304)</f>
        <v>0</v>
      </c>
      <c r="G6" s="3">
        <f>QUARTILE.INC('Heart Raw'!$F$2:$F$304,3)-QUARTILE.INC('Heart Raw'!$F$2:$F$304,1)</f>
        <v>0</v>
      </c>
      <c r="H6" s="3">
        <f>C6/B6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04"/>
  <sheetViews>
    <sheetView workbookViewId="0"/>
  </sheetViews>
  <sheetFormatPr defaultRowHeight="15"/>
  <cols>
    <col min="1" max="3" width="14.7109375" customWidth="1"/>
  </cols>
  <sheetData>
    <row r="1" spans="1:3">
      <c r="A1" s="4" t="s">
        <v>17</v>
      </c>
      <c r="B1" s="4" t="s">
        <v>20</v>
      </c>
      <c r="C1" s="4" t="s">
        <v>23</v>
      </c>
    </row>
    <row r="2" spans="1:3">
      <c r="A2">
        <v>63</v>
      </c>
      <c r="B2">
        <v>150</v>
      </c>
      <c r="C2">
        <v>0</v>
      </c>
    </row>
    <row r="3" spans="1:3">
      <c r="A3">
        <v>67</v>
      </c>
      <c r="B3">
        <v>108</v>
      </c>
      <c r="C3">
        <v>1</v>
      </c>
    </row>
    <row r="4" spans="1:3">
      <c r="A4">
        <v>67</v>
      </c>
      <c r="B4">
        <v>129</v>
      </c>
      <c r="C4">
        <v>1</v>
      </c>
    </row>
    <row r="5" spans="1:3">
      <c r="A5">
        <v>37</v>
      </c>
      <c r="B5">
        <v>187</v>
      </c>
      <c r="C5">
        <v>0</v>
      </c>
    </row>
    <row r="6" spans="1:3">
      <c r="A6">
        <v>41</v>
      </c>
      <c r="B6">
        <v>172</v>
      </c>
      <c r="C6">
        <v>0</v>
      </c>
    </row>
    <row r="7" spans="1:3">
      <c r="A7">
        <v>56</v>
      </c>
      <c r="B7">
        <v>178</v>
      </c>
      <c r="C7">
        <v>0</v>
      </c>
    </row>
    <row r="8" spans="1:3">
      <c r="A8">
        <v>62</v>
      </c>
      <c r="B8">
        <v>160</v>
      </c>
      <c r="C8">
        <v>1</v>
      </c>
    </row>
    <row r="9" spans="1:3">
      <c r="A9">
        <v>57</v>
      </c>
      <c r="B9">
        <v>163</v>
      </c>
      <c r="C9">
        <v>0</v>
      </c>
    </row>
    <row r="10" spans="1:3">
      <c r="A10">
        <v>63</v>
      </c>
      <c r="B10">
        <v>147</v>
      </c>
      <c r="C10">
        <v>1</v>
      </c>
    </row>
    <row r="11" spans="1:3">
      <c r="A11">
        <v>53</v>
      </c>
      <c r="B11">
        <v>155</v>
      </c>
      <c r="C11">
        <v>1</v>
      </c>
    </row>
    <row r="12" spans="1:3">
      <c r="A12">
        <v>57</v>
      </c>
      <c r="B12">
        <v>148</v>
      </c>
      <c r="C12">
        <v>0</v>
      </c>
    </row>
    <row r="13" spans="1:3">
      <c r="A13">
        <v>56</v>
      </c>
      <c r="B13">
        <v>153</v>
      </c>
      <c r="C13">
        <v>0</v>
      </c>
    </row>
    <row r="14" spans="1:3">
      <c r="A14">
        <v>56</v>
      </c>
      <c r="B14">
        <v>142</v>
      </c>
      <c r="C14">
        <v>1</v>
      </c>
    </row>
    <row r="15" spans="1:3">
      <c r="A15">
        <v>44</v>
      </c>
      <c r="B15">
        <v>173</v>
      </c>
      <c r="C15">
        <v>0</v>
      </c>
    </row>
    <row r="16" spans="1:3">
      <c r="A16">
        <v>52</v>
      </c>
      <c r="B16">
        <v>162</v>
      </c>
      <c r="C16">
        <v>0</v>
      </c>
    </row>
    <row r="17" spans="1:3">
      <c r="A17">
        <v>57</v>
      </c>
      <c r="B17">
        <v>174</v>
      </c>
      <c r="C17">
        <v>0</v>
      </c>
    </row>
    <row r="18" spans="1:3">
      <c r="A18">
        <v>48</v>
      </c>
      <c r="B18">
        <v>168</v>
      </c>
      <c r="C18">
        <v>1</v>
      </c>
    </row>
    <row r="19" spans="1:3">
      <c r="A19">
        <v>54</v>
      </c>
      <c r="B19">
        <v>160</v>
      </c>
      <c r="C19">
        <v>0</v>
      </c>
    </row>
    <row r="20" spans="1:3">
      <c r="A20">
        <v>48</v>
      </c>
      <c r="B20">
        <v>139</v>
      </c>
      <c r="C20">
        <v>0</v>
      </c>
    </row>
    <row r="21" spans="1:3">
      <c r="A21">
        <v>49</v>
      </c>
      <c r="B21">
        <v>171</v>
      </c>
      <c r="C21">
        <v>0</v>
      </c>
    </row>
    <row r="22" spans="1:3">
      <c r="A22">
        <v>64</v>
      </c>
      <c r="B22">
        <v>144</v>
      </c>
      <c r="C22">
        <v>0</v>
      </c>
    </row>
    <row r="23" spans="1:3">
      <c r="A23">
        <v>58</v>
      </c>
      <c r="B23">
        <v>162</v>
      </c>
      <c r="C23">
        <v>0</v>
      </c>
    </row>
    <row r="24" spans="1:3">
      <c r="A24">
        <v>58</v>
      </c>
      <c r="B24">
        <v>160</v>
      </c>
      <c r="C24">
        <v>1</v>
      </c>
    </row>
    <row r="25" spans="1:3">
      <c r="A25">
        <v>58</v>
      </c>
      <c r="B25">
        <v>173</v>
      </c>
      <c r="C25">
        <v>1</v>
      </c>
    </row>
    <row r="26" spans="1:3">
      <c r="A26">
        <v>60</v>
      </c>
      <c r="B26">
        <v>132</v>
      </c>
      <c r="C26">
        <v>1</v>
      </c>
    </row>
    <row r="27" spans="1:3">
      <c r="A27">
        <v>50</v>
      </c>
      <c r="B27">
        <v>158</v>
      </c>
      <c r="C27">
        <v>0</v>
      </c>
    </row>
    <row r="28" spans="1:3">
      <c r="A28">
        <v>58</v>
      </c>
      <c r="B28">
        <v>172</v>
      </c>
      <c r="C28">
        <v>0</v>
      </c>
    </row>
    <row r="29" spans="1:3">
      <c r="A29">
        <v>66</v>
      </c>
      <c r="B29">
        <v>114</v>
      </c>
      <c r="C29">
        <v>0</v>
      </c>
    </row>
    <row r="30" spans="1:3">
      <c r="A30">
        <v>43</v>
      </c>
      <c r="B30">
        <v>171</v>
      </c>
      <c r="C30">
        <v>0</v>
      </c>
    </row>
    <row r="31" spans="1:3">
      <c r="A31">
        <v>40</v>
      </c>
      <c r="B31">
        <v>114</v>
      </c>
      <c r="C31">
        <v>1</v>
      </c>
    </row>
    <row r="32" spans="1:3">
      <c r="A32">
        <v>69</v>
      </c>
      <c r="B32">
        <v>151</v>
      </c>
      <c r="C32">
        <v>0</v>
      </c>
    </row>
    <row r="33" spans="1:3">
      <c r="A33">
        <v>60</v>
      </c>
      <c r="B33">
        <v>160</v>
      </c>
      <c r="C33">
        <v>1</v>
      </c>
    </row>
    <row r="34" spans="1:3">
      <c r="A34">
        <v>64</v>
      </c>
      <c r="B34">
        <v>158</v>
      </c>
      <c r="C34">
        <v>1</v>
      </c>
    </row>
    <row r="35" spans="1:3">
      <c r="A35">
        <v>59</v>
      </c>
      <c r="B35">
        <v>161</v>
      </c>
      <c r="C35">
        <v>0</v>
      </c>
    </row>
    <row r="36" spans="1:3">
      <c r="A36">
        <v>44</v>
      </c>
      <c r="B36">
        <v>179</v>
      </c>
      <c r="C36">
        <v>0</v>
      </c>
    </row>
    <row r="37" spans="1:3">
      <c r="A37">
        <v>42</v>
      </c>
      <c r="B37">
        <v>178</v>
      </c>
      <c r="C37">
        <v>0</v>
      </c>
    </row>
    <row r="38" spans="1:3">
      <c r="A38">
        <v>43</v>
      </c>
      <c r="B38">
        <v>120</v>
      </c>
      <c r="C38">
        <v>1</v>
      </c>
    </row>
    <row r="39" spans="1:3">
      <c r="A39">
        <v>57</v>
      </c>
      <c r="B39">
        <v>112</v>
      </c>
      <c r="C39">
        <v>1</v>
      </c>
    </row>
    <row r="40" spans="1:3">
      <c r="A40">
        <v>55</v>
      </c>
      <c r="B40">
        <v>132</v>
      </c>
      <c r="C40">
        <v>1</v>
      </c>
    </row>
    <row r="41" spans="1:3">
      <c r="A41">
        <v>61</v>
      </c>
      <c r="B41">
        <v>137</v>
      </c>
      <c r="C41">
        <v>0</v>
      </c>
    </row>
    <row r="42" spans="1:3">
      <c r="A42">
        <v>65</v>
      </c>
      <c r="B42">
        <v>114</v>
      </c>
      <c r="C42">
        <v>1</v>
      </c>
    </row>
    <row r="43" spans="1:3">
      <c r="A43">
        <v>40</v>
      </c>
      <c r="B43">
        <v>178</v>
      </c>
      <c r="C43">
        <v>0</v>
      </c>
    </row>
    <row r="44" spans="1:3">
      <c r="A44">
        <v>71</v>
      </c>
      <c r="B44">
        <v>162</v>
      </c>
      <c r="C44">
        <v>0</v>
      </c>
    </row>
    <row r="45" spans="1:3">
      <c r="A45">
        <v>59</v>
      </c>
      <c r="B45">
        <v>157</v>
      </c>
      <c r="C45">
        <v>0</v>
      </c>
    </row>
    <row r="46" spans="1:3">
      <c r="A46">
        <v>61</v>
      </c>
      <c r="B46">
        <v>169</v>
      </c>
      <c r="C46">
        <v>1</v>
      </c>
    </row>
    <row r="47" spans="1:3">
      <c r="A47">
        <v>58</v>
      </c>
      <c r="B47">
        <v>165</v>
      </c>
      <c r="C47">
        <v>1</v>
      </c>
    </row>
    <row r="48" spans="1:3">
      <c r="A48">
        <v>51</v>
      </c>
      <c r="B48">
        <v>123</v>
      </c>
      <c r="C48">
        <v>0</v>
      </c>
    </row>
    <row r="49" spans="1:3">
      <c r="A49">
        <v>50</v>
      </c>
      <c r="B49">
        <v>128</v>
      </c>
      <c r="C49">
        <v>1</v>
      </c>
    </row>
    <row r="50" spans="1:3">
      <c r="A50">
        <v>65</v>
      </c>
      <c r="B50">
        <v>157</v>
      </c>
      <c r="C50">
        <v>0</v>
      </c>
    </row>
    <row r="51" spans="1:3">
      <c r="A51">
        <v>53</v>
      </c>
      <c r="B51">
        <v>152</v>
      </c>
      <c r="C51">
        <v>0</v>
      </c>
    </row>
    <row r="52" spans="1:3">
      <c r="A52">
        <v>41</v>
      </c>
      <c r="B52">
        <v>168</v>
      </c>
      <c r="C52">
        <v>0</v>
      </c>
    </row>
    <row r="53" spans="1:3">
      <c r="A53">
        <v>65</v>
      </c>
      <c r="B53">
        <v>140</v>
      </c>
      <c r="C53">
        <v>0</v>
      </c>
    </row>
    <row r="54" spans="1:3">
      <c r="A54">
        <v>44</v>
      </c>
      <c r="B54">
        <v>153</v>
      </c>
      <c r="C54">
        <v>1</v>
      </c>
    </row>
    <row r="55" spans="1:3">
      <c r="A55">
        <v>44</v>
      </c>
      <c r="B55">
        <v>188</v>
      </c>
      <c r="C55">
        <v>0</v>
      </c>
    </row>
    <row r="56" spans="1:3">
      <c r="A56">
        <v>60</v>
      </c>
      <c r="B56">
        <v>144</v>
      </c>
      <c r="C56">
        <v>1</v>
      </c>
    </row>
    <row r="57" spans="1:3">
      <c r="A57">
        <v>54</v>
      </c>
      <c r="B57">
        <v>109</v>
      </c>
      <c r="C57">
        <v>1</v>
      </c>
    </row>
    <row r="58" spans="1:3">
      <c r="A58">
        <v>50</v>
      </c>
      <c r="B58">
        <v>163</v>
      </c>
      <c r="C58">
        <v>1</v>
      </c>
    </row>
    <row r="59" spans="1:3">
      <c r="A59">
        <v>41</v>
      </c>
      <c r="B59">
        <v>158</v>
      </c>
      <c r="C59">
        <v>1</v>
      </c>
    </row>
    <row r="60" spans="1:3">
      <c r="A60">
        <v>54</v>
      </c>
      <c r="B60">
        <v>152</v>
      </c>
      <c r="C60">
        <v>0</v>
      </c>
    </row>
    <row r="61" spans="1:3">
      <c r="A61">
        <v>51</v>
      </c>
      <c r="B61">
        <v>125</v>
      </c>
      <c r="C61">
        <v>0</v>
      </c>
    </row>
    <row r="62" spans="1:3">
      <c r="A62">
        <v>51</v>
      </c>
      <c r="B62">
        <v>142</v>
      </c>
      <c r="C62">
        <v>1</v>
      </c>
    </row>
    <row r="63" spans="1:3">
      <c r="A63">
        <v>46</v>
      </c>
      <c r="B63">
        <v>160</v>
      </c>
      <c r="C63">
        <v>0</v>
      </c>
    </row>
    <row r="64" spans="1:3">
      <c r="A64">
        <v>58</v>
      </c>
      <c r="B64">
        <v>131</v>
      </c>
      <c r="C64">
        <v>1</v>
      </c>
    </row>
    <row r="65" spans="1:3">
      <c r="A65">
        <v>54</v>
      </c>
      <c r="B65">
        <v>170</v>
      </c>
      <c r="C65">
        <v>0</v>
      </c>
    </row>
    <row r="66" spans="1:3">
      <c r="A66">
        <v>54</v>
      </c>
      <c r="B66">
        <v>113</v>
      </c>
      <c r="C66">
        <v>1</v>
      </c>
    </row>
    <row r="67" spans="1:3">
      <c r="A67">
        <v>60</v>
      </c>
      <c r="B67">
        <v>142</v>
      </c>
      <c r="C67">
        <v>1</v>
      </c>
    </row>
    <row r="68" spans="1:3">
      <c r="A68">
        <v>60</v>
      </c>
      <c r="B68">
        <v>155</v>
      </c>
      <c r="C68">
        <v>1</v>
      </c>
    </row>
    <row r="69" spans="1:3">
      <c r="A69">
        <v>54</v>
      </c>
      <c r="B69">
        <v>165</v>
      </c>
      <c r="C69">
        <v>0</v>
      </c>
    </row>
    <row r="70" spans="1:3">
      <c r="A70">
        <v>59</v>
      </c>
      <c r="B70">
        <v>140</v>
      </c>
      <c r="C70">
        <v>1</v>
      </c>
    </row>
    <row r="71" spans="1:3">
      <c r="A71">
        <v>46</v>
      </c>
      <c r="B71">
        <v>147</v>
      </c>
      <c r="C71">
        <v>1</v>
      </c>
    </row>
    <row r="72" spans="1:3">
      <c r="A72">
        <v>65</v>
      </c>
      <c r="B72">
        <v>148</v>
      </c>
      <c r="C72">
        <v>0</v>
      </c>
    </row>
    <row r="73" spans="1:3">
      <c r="A73">
        <v>67</v>
      </c>
      <c r="B73">
        <v>163</v>
      </c>
      <c r="C73">
        <v>1</v>
      </c>
    </row>
    <row r="74" spans="1:3">
      <c r="A74">
        <v>62</v>
      </c>
      <c r="B74">
        <v>99</v>
      </c>
      <c r="C74">
        <v>1</v>
      </c>
    </row>
    <row r="75" spans="1:3">
      <c r="A75">
        <v>65</v>
      </c>
      <c r="B75">
        <v>158</v>
      </c>
      <c r="C75">
        <v>1</v>
      </c>
    </row>
    <row r="76" spans="1:3">
      <c r="A76">
        <v>44</v>
      </c>
      <c r="B76">
        <v>177</v>
      </c>
      <c r="C76">
        <v>1</v>
      </c>
    </row>
    <row r="77" spans="1:3">
      <c r="A77">
        <v>65</v>
      </c>
      <c r="B77">
        <v>151</v>
      </c>
      <c r="C77">
        <v>0</v>
      </c>
    </row>
    <row r="78" spans="1:3">
      <c r="A78">
        <v>60</v>
      </c>
      <c r="B78">
        <v>141</v>
      </c>
      <c r="C78">
        <v>1</v>
      </c>
    </row>
    <row r="79" spans="1:3">
      <c r="A79">
        <v>51</v>
      </c>
      <c r="B79">
        <v>142</v>
      </c>
      <c r="C79">
        <v>0</v>
      </c>
    </row>
    <row r="80" spans="1:3">
      <c r="A80">
        <v>48</v>
      </c>
      <c r="B80">
        <v>180</v>
      </c>
      <c r="C80">
        <v>0</v>
      </c>
    </row>
    <row r="81" spans="1:3">
      <c r="A81">
        <v>58</v>
      </c>
      <c r="B81">
        <v>111</v>
      </c>
      <c r="C81">
        <v>1</v>
      </c>
    </row>
    <row r="82" spans="1:3">
      <c r="A82">
        <v>45</v>
      </c>
      <c r="B82">
        <v>148</v>
      </c>
      <c r="C82">
        <v>0</v>
      </c>
    </row>
    <row r="83" spans="1:3">
      <c r="A83">
        <v>53</v>
      </c>
      <c r="B83">
        <v>143</v>
      </c>
      <c r="C83">
        <v>0</v>
      </c>
    </row>
    <row r="84" spans="1:3">
      <c r="A84">
        <v>39</v>
      </c>
      <c r="B84">
        <v>182</v>
      </c>
      <c r="C84">
        <v>0</v>
      </c>
    </row>
    <row r="85" spans="1:3">
      <c r="A85">
        <v>68</v>
      </c>
      <c r="B85">
        <v>150</v>
      </c>
      <c r="C85">
        <v>1</v>
      </c>
    </row>
    <row r="86" spans="1:3">
      <c r="A86">
        <v>52</v>
      </c>
      <c r="B86">
        <v>172</v>
      </c>
      <c r="C86">
        <v>0</v>
      </c>
    </row>
    <row r="87" spans="1:3">
      <c r="A87">
        <v>44</v>
      </c>
      <c r="B87">
        <v>180</v>
      </c>
      <c r="C87">
        <v>0</v>
      </c>
    </row>
    <row r="88" spans="1:3">
      <c r="A88">
        <v>47</v>
      </c>
      <c r="B88">
        <v>156</v>
      </c>
      <c r="C88">
        <v>0</v>
      </c>
    </row>
    <row r="89" spans="1:3">
      <c r="A89">
        <v>53</v>
      </c>
      <c r="B89">
        <v>115</v>
      </c>
      <c r="C89">
        <v>0</v>
      </c>
    </row>
    <row r="90" spans="1:3">
      <c r="A90">
        <v>53</v>
      </c>
      <c r="B90">
        <v>160</v>
      </c>
      <c r="C90">
        <v>0</v>
      </c>
    </row>
    <row r="91" spans="1:3">
      <c r="A91">
        <v>51</v>
      </c>
      <c r="B91">
        <v>149</v>
      </c>
      <c r="C91">
        <v>0</v>
      </c>
    </row>
    <row r="92" spans="1:3">
      <c r="A92">
        <v>66</v>
      </c>
      <c r="B92">
        <v>151</v>
      </c>
      <c r="C92">
        <v>0</v>
      </c>
    </row>
    <row r="93" spans="1:3">
      <c r="A93">
        <v>62</v>
      </c>
      <c r="B93">
        <v>145</v>
      </c>
      <c r="C93">
        <v>1</v>
      </c>
    </row>
    <row r="94" spans="1:3">
      <c r="A94">
        <v>62</v>
      </c>
      <c r="B94">
        <v>146</v>
      </c>
      <c r="C94">
        <v>0</v>
      </c>
    </row>
    <row r="95" spans="1:3">
      <c r="A95">
        <v>44</v>
      </c>
      <c r="B95">
        <v>175</v>
      </c>
      <c r="C95">
        <v>0</v>
      </c>
    </row>
    <row r="96" spans="1:3">
      <c r="A96">
        <v>63</v>
      </c>
      <c r="B96">
        <v>172</v>
      </c>
      <c r="C96">
        <v>0</v>
      </c>
    </row>
    <row r="97" spans="1:3">
      <c r="A97">
        <v>52</v>
      </c>
      <c r="B97">
        <v>161</v>
      </c>
      <c r="C97">
        <v>1</v>
      </c>
    </row>
    <row r="98" spans="1:3">
      <c r="A98">
        <v>59</v>
      </c>
      <c r="B98">
        <v>142</v>
      </c>
      <c r="C98">
        <v>1</v>
      </c>
    </row>
    <row r="99" spans="1:3">
      <c r="A99">
        <v>60</v>
      </c>
      <c r="B99">
        <v>157</v>
      </c>
      <c r="C99">
        <v>1</v>
      </c>
    </row>
    <row r="100" spans="1:3">
      <c r="A100">
        <v>52</v>
      </c>
      <c r="B100">
        <v>158</v>
      </c>
      <c r="C100">
        <v>0</v>
      </c>
    </row>
    <row r="101" spans="1:3">
      <c r="A101">
        <v>48</v>
      </c>
      <c r="B101">
        <v>186</v>
      </c>
      <c r="C101">
        <v>0</v>
      </c>
    </row>
    <row r="102" spans="1:3">
      <c r="A102">
        <v>45</v>
      </c>
      <c r="B102">
        <v>185</v>
      </c>
      <c r="C102">
        <v>0</v>
      </c>
    </row>
    <row r="103" spans="1:3">
      <c r="A103">
        <v>34</v>
      </c>
      <c r="B103">
        <v>174</v>
      </c>
      <c r="C103">
        <v>0</v>
      </c>
    </row>
    <row r="104" spans="1:3">
      <c r="A104">
        <v>57</v>
      </c>
      <c r="B104">
        <v>159</v>
      </c>
      <c r="C104">
        <v>0</v>
      </c>
    </row>
    <row r="105" spans="1:3">
      <c r="A105">
        <v>71</v>
      </c>
      <c r="B105">
        <v>130</v>
      </c>
      <c r="C105">
        <v>0</v>
      </c>
    </row>
    <row r="106" spans="1:3">
      <c r="A106">
        <v>49</v>
      </c>
      <c r="B106">
        <v>139</v>
      </c>
      <c r="C106">
        <v>1</v>
      </c>
    </row>
    <row r="107" spans="1:3">
      <c r="A107">
        <v>54</v>
      </c>
      <c r="B107">
        <v>156</v>
      </c>
      <c r="C107">
        <v>0</v>
      </c>
    </row>
    <row r="108" spans="1:3">
      <c r="A108">
        <v>59</v>
      </c>
      <c r="B108">
        <v>162</v>
      </c>
      <c r="C108">
        <v>1</v>
      </c>
    </row>
    <row r="109" spans="1:3">
      <c r="A109">
        <v>57</v>
      </c>
      <c r="B109">
        <v>150</v>
      </c>
      <c r="C109">
        <v>1</v>
      </c>
    </row>
    <row r="110" spans="1:3">
      <c r="A110">
        <v>61</v>
      </c>
      <c r="B110">
        <v>140</v>
      </c>
      <c r="C110">
        <v>1</v>
      </c>
    </row>
    <row r="111" spans="1:3">
      <c r="A111">
        <v>39</v>
      </c>
      <c r="B111">
        <v>140</v>
      </c>
      <c r="C111">
        <v>1</v>
      </c>
    </row>
    <row r="112" spans="1:3">
      <c r="A112">
        <v>61</v>
      </c>
      <c r="B112">
        <v>146</v>
      </c>
      <c r="C112">
        <v>1</v>
      </c>
    </row>
    <row r="113" spans="1:3">
      <c r="A113">
        <v>56</v>
      </c>
      <c r="B113">
        <v>144</v>
      </c>
      <c r="C113">
        <v>1</v>
      </c>
    </row>
    <row r="114" spans="1:3">
      <c r="A114">
        <v>52</v>
      </c>
      <c r="B114">
        <v>190</v>
      </c>
      <c r="C114">
        <v>0</v>
      </c>
    </row>
    <row r="115" spans="1:3">
      <c r="A115">
        <v>43</v>
      </c>
      <c r="B115">
        <v>136</v>
      </c>
      <c r="C115">
        <v>1</v>
      </c>
    </row>
    <row r="116" spans="1:3">
      <c r="A116">
        <v>62</v>
      </c>
      <c r="B116">
        <v>97</v>
      </c>
      <c r="C116">
        <v>1</v>
      </c>
    </row>
    <row r="117" spans="1:3">
      <c r="A117">
        <v>41</v>
      </c>
      <c r="B117">
        <v>132</v>
      </c>
      <c r="C117">
        <v>0</v>
      </c>
    </row>
    <row r="118" spans="1:3">
      <c r="A118">
        <v>58</v>
      </c>
      <c r="B118">
        <v>165</v>
      </c>
      <c r="C118">
        <v>0</v>
      </c>
    </row>
    <row r="119" spans="1:3">
      <c r="A119">
        <v>35</v>
      </c>
      <c r="B119">
        <v>182</v>
      </c>
      <c r="C119">
        <v>0</v>
      </c>
    </row>
    <row r="120" spans="1:3">
      <c r="A120">
        <v>63</v>
      </c>
      <c r="B120">
        <v>132</v>
      </c>
      <c r="C120">
        <v>1</v>
      </c>
    </row>
    <row r="121" spans="1:3">
      <c r="A121">
        <v>65</v>
      </c>
      <c r="B121">
        <v>127</v>
      </c>
      <c r="C121">
        <v>1</v>
      </c>
    </row>
    <row r="122" spans="1:3">
      <c r="A122">
        <v>48</v>
      </c>
      <c r="B122">
        <v>150</v>
      </c>
      <c r="C122">
        <v>1</v>
      </c>
    </row>
    <row r="123" spans="1:3">
      <c r="A123">
        <v>63</v>
      </c>
      <c r="B123">
        <v>154</v>
      </c>
      <c r="C123">
        <v>1</v>
      </c>
    </row>
    <row r="124" spans="1:3">
      <c r="A124">
        <v>51</v>
      </c>
      <c r="B124">
        <v>143</v>
      </c>
      <c r="C124">
        <v>0</v>
      </c>
    </row>
    <row r="125" spans="1:3">
      <c r="A125">
        <v>55</v>
      </c>
      <c r="B125">
        <v>111</v>
      </c>
      <c r="C125">
        <v>1</v>
      </c>
    </row>
    <row r="126" spans="1:3">
      <c r="A126">
        <v>65</v>
      </c>
      <c r="B126">
        <v>174</v>
      </c>
      <c r="C126">
        <v>1</v>
      </c>
    </row>
    <row r="127" spans="1:3">
      <c r="A127">
        <v>45</v>
      </c>
      <c r="B127">
        <v>175</v>
      </c>
      <c r="C127">
        <v>0</v>
      </c>
    </row>
    <row r="128" spans="1:3">
      <c r="A128">
        <v>56</v>
      </c>
      <c r="B128">
        <v>133</v>
      </c>
      <c r="C128">
        <v>1</v>
      </c>
    </row>
    <row r="129" spans="1:3">
      <c r="A129">
        <v>54</v>
      </c>
      <c r="B129">
        <v>126</v>
      </c>
      <c r="C129">
        <v>1</v>
      </c>
    </row>
    <row r="130" spans="1:3">
      <c r="A130">
        <v>44</v>
      </c>
      <c r="B130">
        <v>170</v>
      </c>
      <c r="C130">
        <v>0</v>
      </c>
    </row>
    <row r="131" spans="1:3">
      <c r="A131">
        <v>62</v>
      </c>
      <c r="B131">
        <v>163</v>
      </c>
      <c r="C131">
        <v>0</v>
      </c>
    </row>
    <row r="132" spans="1:3">
      <c r="A132">
        <v>54</v>
      </c>
      <c r="B132">
        <v>147</v>
      </c>
      <c r="C132">
        <v>0</v>
      </c>
    </row>
    <row r="133" spans="1:3">
      <c r="A133">
        <v>51</v>
      </c>
      <c r="B133">
        <v>154</v>
      </c>
      <c r="C133">
        <v>0</v>
      </c>
    </row>
    <row r="134" spans="1:3">
      <c r="A134">
        <v>29</v>
      </c>
      <c r="B134">
        <v>202</v>
      </c>
      <c r="C134">
        <v>0</v>
      </c>
    </row>
    <row r="135" spans="1:3">
      <c r="A135">
        <v>51</v>
      </c>
      <c r="B135">
        <v>186</v>
      </c>
      <c r="C135">
        <v>0</v>
      </c>
    </row>
    <row r="136" spans="1:3">
      <c r="A136">
        <v>43</v>
      </c>
      <c r="B136">
        <v>165</v>
      </c>
      <c r="C136">
        <v>0</v>
      </c>
    </row>
    <row r="137" spans="1:3">
      <c r="A137">
        <v>55</v>
      </c>
      <c r="B137">
        <v>161</v>
      </c>
      <c r="C137">
        <v>0</v>
      </c>
    </row>
    <row r="138" spans="1:3">
      <c r="A138">
        <v>70</v>
      </c>
      <c r="B138">
        <v>125</v>
      </c>
      <c r="C138">
        <v>1</v>
      </c>
    </row>
    <row r="139" spans="1:3">
      <c r="A139">
        <v>62</v>
      </c>
      <c r="B139">
        <v>103</v>
      </c>
      <c r="C139">
        <v>1</v>
      </c>
    </row>
    <row r="140" spans="1:3">
      <c r="A140">
        <v>35</v>
      </c>
      <c r="B140">
        <v>130</v>
      </c>
      <c r="C140">
        <v>1</v>
      </c>
    </row>
    <row r="141" spans="1:3">
      <c r="A141">
        <v>51</v>
      </c>
      <c r="B141">
        <v>166</v>
      </c>
      <c r="C141">
        <v>0</v>
      </c>
    </row>
    <row r="142" spans="1:3">
      <c r="A142">
        <v>59</v>
      </c>
      <c r="B142">
        <v>164</v>
      </c>
      <c r="C142">
        <v>0</v>
      </c>
    </row>
    <row r="143" spans="1:3">
      <c r="A143">
        <v>59</v>
      </c>
      <c r="B143">
        <v>159</v>
      </c>
      <c r="C143">
        <v>1</v>
      </c>
    </row>
    <row r="144" spans="1:3">
      <c r="A144">
        <v>52</v>
      </c>
      <c r="B144">
        <v>184</v>
      </c>
      <c r="C144">
        <v>0</v>
      </c>
    </row>
    <row r="145" spans="1:3">
      <c r="A145">
        <v>64</v>
      </c>
      <c r="B145">
        <v>131</v>
      </c>
      <c r="C145">
        <v>1</v>
      </c>
    </row>
    <row r="146" spans="1:3">
      <c r="A146">
        <v>58</v>
      </c>
      <c r="B146">
        <v>154</v>
      </c>
      <c r="C146">
        <v>0</v>
      </c>
    </row>
    <row r="147" spans="1:3">
      <c r="A147">
        <v>47</v>
      </c>
      <c r="B147">
        <v>152</v>
      </c>
      <c r="C147">
        <v>1</v>
      </c>
    </row>
    <row r="148" spans="1:3">
      <c r="A148">
        <v>57</v>
      </c>
      <c r="B148">
        <v>124</v>
      </c>
      <c r="C148">
        <v>1</v>
      </c>
    </row>
    <row r="149" spans="1:3">
      <c r="A149">
        <v>41</v>
      </c>
      <c r="B149">
        <v>179</v>
      </c>
      <c r="C149">
        <v>0</v>
      </c>
    </row>
    <row r="150" spans="1:3">
      <c r="A150">
        <v>45</v>
      </c>
      <c r="B150">
        <v>170</v>
      </c>
      <c r="C150">
        <v>0</v>
      </c>
    </row>
    <row r="151" spans="1:3">
      <c r="A151">
        <v>60</v>
      </c>
      <c r="B151">
        <v>160</v>
      </c>
      <c r="C151">
        <v>0</v>
      </c>
    </row>
    <row r="152" spans="1:3">
      <c r="A152">
        <v>52</v>
      </c>
      <c r="B152">
        <v>178</v>
      </c>
      <c r="C152">
        <v>0</v>
      </c>
    </row>
    <row r="153" spans="1:3">
      <c r="A153">
        <v>42</v>
      </c>
      <c r="B153">
        <v>122</v>
      </c>
      <c r="C153">
        <v>0</v>
      </c>
    </row>
    <row r="154" spans="1:3">
      <c r="A154">
        <v>67</v>
      </c>
      <c r="B154">
        <v>160</v>
      </c>
      <c r="C154">
        <v>0</v>
      </c>
    </row>
    <row r="155" spans="1:3">
      <c r="A155">
        <v>55</v>
      </c>
      <c r="B155">
        <v>145</v>
      </c>
      <c r="C155">
        <v>1</v>
      </c>
    </row>
    <row r="156" spans="1:3">
      <c r="A156">
        <v>64</v>
      </c>
      <c r="B156">
        <v>96</v>
      </c>
      <c r="C156">
        <v>1</v>
      </c>
    </row>
    <row r="157" spans="1:3">
      <c r="A157">
        <v>70</v>
      </c>
      <c r="B157">
        <v>109</v>
      </c>
      <c r="C157">
        <v>1</v>
      </c>
    </row>
    <row r="158" spans="1:3">
      <c r="A158">
        <v>51</v>
      </c>
      <c r="B158">
        <v>173</v>
      </c>
      <c r="C158">
        <v>1</v>
      </c>
    </row>
    <row r="159" spans="1:3">
      <c r="A159">
        <v>58</v>
      </c>
      <c r="B159">
        <v>171</v>
      </c>
      <c r="C159">
        <v>1</v>
      </c>
    </row>
    <row r="160" spans="1:3">
      <c r="A160">
        <v>60</v>
      </c>
      <c r="B160">
        <v>170</v>
      </c>
      <c r="C160">
        <v>1</v>
      </c>
    </row>
    <row r="161" spans="1:3">
      <c r="A161">
        <v>68</v>
      </c>
      <c r="B161">
        <v>151</v>
      </c>
      <c r="C161">
        <v>0</v>
      </c>
    </row>
    <row r="162" spans="1:3">
      <c r="A162">
        <v>46</v>
      </c>
      <c r="B162">
        <v>156</v>
      </c>
      <c r="C162">
        <v>0</v>
      </c>
    </row>
    <row r="163" spans="1:3">
      <c r="A163">
        <v>77</v>
      </c>
      <c r="B163">
        <v>162</v>
      </c>
      <c r="C163">
        <v>1</v>
      </c>
    </row>
    <row r="164" spans="1:3">
      <c r="A164">
        <v>54</v>
      </c>
      <c r="B164">
        <v>158</v>
      </c>
      <c r="C164">
        <v>0</v>
      </c>
    </row>
    <row r="165" spans="1:3">
      <c r="A165">
        <v>58</v>
      </c>
      <c r="B165">
        <v>122</v>
      </c>
      <c r="C165">
        <v>0</v>
      </c>
    </row>
    <row r="166" spans="1:3">
      <c r="A166">
        <v>48</v>
      </c>
      <c r="B166">
        <v>175</v>
      </c>
      <c r="C166">
        <v>0</v>
      </c>
    </row>
    <row r="167" spans="1:3">
      <c r="A167">
        <v>57</v>
      </c>
      <c r="B167">
        <v>168</v>
      </c>
      <c r="C167">
        <v>0</v>
      </c>
    </row>
    <row r="168" spans="1:3">
      <c r="A168">
        <v>52</v>
      </c>
      <c r="B168">
        <v>169</v>
      </c>
      <c r="C168">
        <v>0</v>
      </c>
    </row>
    <row r="169" spans="1:3">
      <c r="A169">
        <v>54</v>
      </c>
      <c r="B169">
        <v>159</v>
      </c>
      <c r="C169">
        <v>0</v>
      </c>
    </row>
    <row r="170" spans="1:3">
      <c r="A170">
        <v>35</v>
      </c>
      <c r="B170">
        <v>156</v>
      </c>
      <c r="C170">
        <v>1</v>
      </c>
    </row>
    <row r="171" spans="1:3">
      <c r="A171">
        <v>45</v>
      </c>
      <c r="B171">
        <v>138</v>
      </c>
      <c r="C171">
        <v>0</v>
      </c>
    </row>
    <row r="172" spans="1:3">
      <c r="A172">
        <v>70</v>
      </c>
      <c r="B172">
        <v>112</v>
      </c>
      <c r="C172">
        <v>1</v>
      </c>
    </row>
    <row r="173" spans="1:3">
      <c r="A173">
        <v>53</v>
      </c>
      <c r="B173">
        <v>111</v>
      </c>
      <c r="C173">
        <v>0</v>
      </c>
    </row>
    <row r="174" spans="1:3">
      <c r="A174">
        <v>59</v>
      </c>
      <c r="B174">
        <v>143</v>
      </c>
      <c r="C174">
        <v>1</v>
      </c>
    </row>
    <row r="175" spans="1:3">
      <c r="A175">
        <v>62</v>
      </c>
      <c r="B175">
        <v>157</v>
      </c>
      <c r="C175">
        <v>0</v>
      </c>
    </row>
    <row r="176" spans="1:3">
      <c r="A176">
        <v>64</v>
      </c>
      <c r="B176">
        <v>132</v>
      </c>
      <c r="C176">
        <v>1</v>
      </c>
    </row>
    <row r="177" spans="1:3">
      <c r="A177">
        <v>57</v>
      </c>
      <c r="B177">
        <v>88</v>
      </c>
      <c r="C177">
        <v>1</v>
      </c>
    </row>
    <row r="178" spans="1:3">
      <c r="A178">
        <v>52</v>
      </c>
      <c r="B178">
        <v>147</v>
      </c>
      <c r="C178">
        <v>0</v>
      </c>
    </row>
    <row r="179" spans="1:3">
      <c r="A179">
        <v>56</v>
      </c>
      <c r="B179">
        <v>105</v>
      </c>
      <c r="C179">
        <v>1</v>
      </c>
    </row>
    <row r="180" spans="1:3">
      <c r="A180">
        <v>43</v>
      </c>
      <c r="B180">
        <v>162</v>
      </c>
      <c r="C180">
        <v>0</v>
      </c>
    </row>
    <row r="181" spans="1:3">
      <c r="A181">
        <v>53</v>
      </c>
      <c r="B181">
        <v>173</v>
      </c>
      <c r="C181">
        <v>0</v>
      </c>
    </row>
    <row r="182" spans="1:3">
      <c r="A182">
        <v>48</v>
      </c>
      <c r="B182">
        <v>166</v>
      </c>
      <c r="C182">
        <v>1</v>
      </c>
    </row>
    <row r="183" spans="1:3">
      <c r="A183">
        <v>56</v>
      </c>
      <c r="B183">
        <v>150</v>
      </c>
      <c r="C183">
        <v>1</v>
      </c>
    </row>
    <row r="184" spans="1:3">
      <c r="A184">
        <v>42</v>
      </c>
      <c r="B184">
        <v>178</v>
      </c>
      <c r="C184">
        <v>0</v>
      </c>
    </row>
    <row r="185" spans="1:3">
      <c r="A185">
        <v>59</v>
      </c>
      <c r="B185">
        <v>145</v>
      </c>
      <c r="C185">
        <v>0</v>
      </c>
    </row>
    <row r="186" spans="1:3">
      <c r="A186">
        <v>60</v>
      </c>
      <c r="B186">
        <v>161</v>
      </c>
      <c r="C186">
        <v>1</v>
      </c>
    </row>
    <row r="187" spans="1:3">
      <c r="A187">
        <v>63</v>
      </c>
      <c r="B187">
        <v>179</v>
      </c>
      <c r="C187">
        <v>0</v>
      </c>
    </row>
    <row r="188" spans="1:3">
      <c r="A188">
        <v>42</v>
      </c>
      <c r="B188">
        <v>194</v>
      </c>
      <c r="C188">
        <v>0</v>
      </c>
    </row>
    <row r="189" spans="1:3">
      <c r="A189">
        <v>66</v>
      </c>
      <c r="B189">
        <v>120</v>
      </c>
      <c r="C189">
        <v>1</v>
      </c>
    </row>
    <row r="190" spans="1:3">
      <c r="A190">
        <v>54</v>
      </c>
      <c r="B190">
        <v>195</v>
      </c>
      <c r="C190">
        <v>1</v>
      </c>
    </row>
    <row r="191" spans="1:3">
      <c r="A191">
        <v>69</v>
      </c>
      <c r="B191">
        <v>146</v>
      </c>
      <c r="C191">
        <v>1</v>
      </c>
    </row>
    <row r="192" spans="1:3">
      <c r="A192">
        <v>50</v>
      </c>
      <c r="B192">
        <v>163</v>
      </c>
      <c r="C192">
        <v>0</v>
      </c>
    </row>
    <row r="193" spans="1:3">
      <c r="A193">
        <v>51</v>
      </c>
      <c r="B193">
        <v>122</v>
      </c>
      <c r="C193">
        <v>1</v>
      </c>
    </row>
    <row r="194" spans="1:3">
      <c r="A194">
        <v>43</v>
      </c>
      <c r="B194">
        <v>143</v>
      </c>
      <c r="C194">
        <v>1</v>
      </c>
    </row>
    <row r="195" spans="1:3">
      <c r="A195">
        <v>62</v>
      </c>
      <c r="B195">
        <v>106</v>
      </c>
      <c r="C195">
        <v>1</v>
      </c>
    </row>
    <row r="196" spans="1:3">
      <c r="A196">
        <v>68</v>
      </c>
      <c r="B196">
        <v>115</v>
      </c>
      <c r="C196">
        <v>0</v>
      </c>
    </row>
    <row r="197" spans="1:3">
      <c r="A197">
        <v>67</v>
      </c>
      <c r="B197">
        <v>125</v>
      </c>
      <c r="C197">
        <v>1</v>
      </c>
    </row>
    <row r="198" spans="1:3">
      <c r="A198">
        <v>69</v>
      </c>
      <c r="B198">
        <v>131</v>
      </c>
      <c r="C198">
        <v>0</v>
      </c>
    </row>
    <row r="199" spans="1:3">
      <c r="A199">
        <v>45</v>
      </c>
      <c r="B199">
        <v>152</v>
      </c>
      <c r="C199">
        <v>0</v>
      </c>
    </row>
    <row r="200" spans="1:3">
      <c r="A200">
        <v>50</v>
      </c>
      <c r="B200">
        <v>162</v>
      </c>
      <c r="C200">
        <v>0</v>
      </c>
    </row>
    <row r="201" spans="1:3">
      <c r="A201">
        <v>59</v>
      </c>
      <c r="B201">
        <v>125</v>
      </c>
      <c r="C201">
        <v>1</v>
      </c>
    </row>
    <row r="202" spans="1:3">
      <c r="A202">
        <v>50</v>
      </c>
      <c r="B202">
        <v>159</v>
      </c>
      <c r="C202">
        <v>0</v>
      </c>
    </row>
    <row r="203" spans="1:3">
      <c r="A203">
        <v>64</v>
      </c>
      <c r="B203">
        <v>154</v>
      </c>
      <c r="C203">
        <v>0</v>
      </c>
    </row>
    <row r="204" spans="1:3">
      <c r="A204">
        <v>57</v>
      </c>
      <c r="B204">
        <v>173</v>
      </c>
      <c r="C204">
        <v>0</v>
      </c>
    </row>
    <row r="205" spans="1:3">
      <c r="A205">
        <v>64</v>
      </c>
      <c r="B205">
        <v>133</v>
      </c>
      <c r="C205">
        <v>0</v>
      </c>
    </row>
    <row r="206" spans="1:3">
      <c r="A206">
        <v>43</v>
      </c>
      <c r="B206">
        <v>161</v>
      </c>
      <c r="C206">
        <v>0</v>
      </c>
    </row>
    <row r="207" spans="1:3">
      <c r="A207">
        <v>45</v>
      </c>
      <c r="B207">
        <v>147</v>
      </c>
      <c r="C207">
        <v>1</v>
      </c>
    </row>
    <row r="208" spans="1:3">
      <c r="A208">
        <v>58</v>
      </c>
      <c r="B208">
        <v>130</v>
      </c>
      <c r="C208">
        <v>1</v>
      </c>
    </row>
    <row r="209" spans="1:3">
      <c r="A209">
        <v>50</v>
      </c>
      <c r="B209">
        <v>126</v>
      </c>
      <c r="C209">
        <v>1</v>
      </c>
    </row>
    <row r="210" spans="1:3">
      <c r="A210">
        <v>55</v>
      </c>
      <c r="B210">
        <v>155</v>
      </c>
      <c r="C210">
        <v>0</v>
      </c>
    </row>
    <row r="211" spans="1:3">
      <c r="A211">
        <v>62</v>
      </c>
      <c r="B211">
        <v>154</v>
      </c>
      <c r="C211">
        <v>1</v>
      </c>
    </row>
    <row r="212" spans="1:3">
      <c r="A212">
        <v>37</v>
      </c>
      <c r="B212">
        <v>170</v>
      </c>
      <c r="C212">
        <v>0</v>
      </c>
    </row>
    <row r="213" spans="1:3">
      <c r="A213">
        <v>38</v>
      </c>
      <c r="B213">
        <v>182</v>
      </c>
      <c r="C213">
        <v>1</v>
      </c>
    </row>
    <row r="214" spans="1:3">
      <c r="A214">
        <v>41</v>
      </c>
      <c r="B214">
        <v>168</v>
      </c>
      <c r="C214">
        <v>0</v>
      </c>
    </row>
    <row r="215" spans="1:3">
      <c r="A215">
        <v>66</v>
      </c>
      <c r="B215">
        <v>165</v>
      </c>
      <c r="C215">
        <v>1</v>
      </c>
    </row>
    <row r="216" spans="1:3">
      <c r="A216">
        <v>52</v>
      </c>
      <c r="B216">
        <v>160</v>
      </c>
      <c r="C216">
        <v>1</v>
      </c>
    </row>
    <row r="217" spans="1:3">
      <c r="A217">
        <v>56</v>
      </c>
      <c r="B217">
        <v>162</v>
      </c>
      <c r="C217">
        <v>0</v>
      </c>
    </row>
    <row r="218" spans="1:3">
      <c r="A218">
        <v>46</v>
      </c>
      <c r="B218">
        <v>172</v>
      </c>
      <c r="C218">
        <v>0</v>
      </c>
    </row>
    <row r="219" spans="1:3">
      <c r="A219">
        <v>46</v>
      </c>
      <c r="B219">
        <v>152</v>
      </c>
      <c r="C219">
        <v>0</v>
      </c>
    </row>
    <row r="220" spans="1:3">
      <c r="A220">
        <v>64</v>
      </c>
      <c r="B220">
        <v>122</v>
      </c>
      <c r="C220">
        <v>0</v>
      </c>
    </row>
    <row r="221" spans="1:3">
      <c r="A221">
        <v>59</v>
      </c>
      <c r="B221">
        <v>182</v>
      </c>
      <c r="C221">
        <v>0</v>
      </c>
    </row>
    <row r="222" spans="1:3">
      <c r="A222">
        <v>41</v>
      </c>
      <c r="B222">
        <v>172</v>
      </c>
      <c r="C222">
        <v>0</v>
      </c>
    </row>
    <row r="223" spans="1:3">
      <c r="A223">
        <v>54</v>
      </c>
      <c r="B223">
        <v>167</v>
      </c>
      <c r="C223">
        <v>0</v>
      </c>
    </row>
    <row r="224" spans="1:3">
      <c r="A224">
        <v>39</v>
      </c>
      <c r="B224">
        <v>179</v>
      </c>
      <c r="C224">
        <v>0</v>
      </c>
    </row>
    <row r="225" spans="1:3">
      <c r="A225">
        <v>53</v>
      </c>
      <c r="B225">
        <v>95</v>
      </c>
      <c r="C225">
        <v>1</v>
      </c>
    </row>
    <row r="226" spans="1:3">
      <c r="A226">
        <v>63</v>
      </c>
      <c r="B226">
        <v>169</v>
      </c>
      <c r="C226">
        <v>1</v>
      </c>
    </row>
    <row r="227" spans="1:3">
      <c r="A227">
        <v>34</v>
      </c>
      <c r="B227">
        <v>192</v>
      </c>
      <c r="C227">
        <v>0</v>
      </c>
    </row>
    <row r="228" spans="1:3">
      <c r="A228">
        <v>47</v>
      </c>
      <c r="B228">
        <v>143</v>
      </c>
      <c r="C228">
        <v>0</v>
      </c>
    </row>
    <row r="229" spans="1:3">
      <c r="A229">
        <v>67</v>
      </c>
      <c r="B229">
        <v>172</v>
      </c>
      <c r="C229">
        <v>0</v>
      </c>
    </row>
    <row r="230" spans="1:3">
      <c r="A230">
        <v>54</v>
      </c>
      <c r="B230">
        <v>108</v>
      </c>
      <c r="C230">
        <v>1</v>
      </c>
    </row>
    <row r="231" spans="1:3">
      <c r="A231">
        <v>66</v>
      </c>
      <c r="B231">
        <v>132</v>
      </c>
      <c r="C231">
        <v>1</v>
      </c>
    </row>
    <row r="232" spans="1:3">
      <c r="A232">
        <v>52</v>
      </c>
      <c r="B232">
        <v>169</v>
      </c>
      <c r="C232">
        <v>0</v>
      </c>
    </row>
    <row r="233" spans="1:3">
      <c r="A233">
        <v>55</v>
      </c>
      <c r="B233">
        <v>117</v>
      </c>
      <c r="C233">
        <v>1</v>
      </c>
    </row>
    <row r="234" spans="1:3">
      <c r="A234">
        <v>49</v>
      </c>
      <c r="B234">
        <v>126</v>
      </c>
      <c r="C234">
        <v>1</v>
      </c>
    </row>
    <row r="235" spans="1:3">
      <c r="A235">
        <v>74</v>
      </c>
      <c r="B235">
        <v>121</v>
      </c>
      <c r="C235">
        <v>0</v>
      </c>
    </row>
    <row r="236" spans="1:3">
      <c r="A236">
        <v>54</v>
      </c>
      <c r="B236">
        <v>163</v>
      </c>
      <c r="C236">
        <v>0</v>
      </c>
    </row>
    <row r="237" spans="1:3">
      <c r="A237">
        <v>54</v>
      </c>
      <c r="B237">
        <v>116</v>
      </c>
      <c r="C237">
        <v>1</v>
      </c>
    </row>
    <row r="238" spans="1:3">
      <c r="A238">
        <v>56</v>
      </c>
      <c r="B238">
        <v>103</v>
      </c>
      <c r="C238">
        <v>1</v>
      </c>
    </row>
    <row r="239" spans="1:3">
      <c r="A239">
        <v>46</v>
      </c>
      <c r="B239">
        <v>144</v>
      </c>
      <c r="C239">
        <v>1</v>
      </c>
    </row>
    <row r="240" spans="1:3">
      <c r="A240">
        <v>49</v>
      </c>
      <c r="B240">
        <v>162</v>
      </c>
      <c r="C240">
        <v>0</v>
      </c>
    </row>
    <row r="241" spans="1:3">
      <c r="A241">
        <v>42</v>
      </c>
      <c r="B241">
        <v>162</v>
      </c>
      <c r="C241">
        <v>0</v>
      </c>
    </row>
    <row r="242" spans="1:3">
      <c r="A242">
        <v>41</v>
      </c>
      <c r="B242">
        <v>153</v>
      </c>
      <c r="C242">
        <v>0</v>
      </c>
    </row>
    <row r="243" spans="1:3">
      <c r="A243">
        <v>41</v>
      </c>
      <c r="B243">
        <v>163</v>
      </c>
      <c r="C243">
        <v>0</v>
      </c>
    </row>
    <row r="244" spans="1:3">
      <c r="A244">
        <v>49</v>
      </c>
      <c r="B244">
        <v>163</v>
      </c>
      <c r="C244">
        <v>0</v>
      </c>
    </row>
    <row r="245" spans="1:3">
      <c r="A245">
        <v>61</v>
      </c>
      <c r="B245">
        <v>145</v>
      </c>
      <c r="C245">
        <v>1</v>
      </c>
    </row>
    <row r="246" spans="1:3">
      <c r="A246">
        <v>60</v>
      </c>
      <c r="B246">
        <v>96</v>
      </c>
      <c r="C246">
        <v>0</v>
      </c>
    </row>
    <row r="247" spans="1:3">
      <c r="A247">
        <v>67</v>
      </c>
      <c r="B247">
        <v>84.75</v>
      </c>
      <c r="C247">
        <v>1</v>
      </c>
    </row>
    <row r="248" spans="1:3">
      <c r="A248">
        <v>58</v>
      </c>
      <c r="B248">
        <v>156</v>
      </c>
      <c r="C248">
        <v>1</v>
      </c>
    </row>
    <row r="249" spans="1:3">
      <c r="A249">
        <v>47</v>
      </c>
      <c r="B249">
        <v>118</v>
      </c>
      <c r="C249">
        <v>1</v>
      </c>
    </row>
    <row r="250" spans="1:3">
      <c r="A250">
        <v>52</v>
      </c>
      <c r="B250">
        <v>168</v>
      </c>
      <c r="C250">
        <v>1</v>
      </c>
    </row>
    <row r="251" spans="1:3">
      <c r="A251">
        <v>62</v>
      </c>
      <c r="B251">
        <v>140</v>
      </c>
      <c r="C251">
        <v>0</v>
      </c>
    </row>
    <row r="252" spans="1:3">
      <c r="A252">
        <v>57</v>
      </c>
      <c r="B252">
        <v>126</v>
      </c>
      <c r="C252">
        <v>0</v>
      </c>
    </row>
    <row r="253" spans="1:3">
      <c r="A253">
        <v>58</v>
      </c>
      <c r="B253">
        <v>105</v>
      </c>
      <c r="C253">
        <v>1</v>
      </c>
    </row>
    <row r="254" spans="1:3">
      <c r="A254">
        <v>64</v>
      </c>
      <c r="B254">
        <v>105</v>
      </c>
      <c r="C254">
        <v>0</v>
      </c>
    </row>
    <row r="255" spans="1:3">
      <c r="A255">
        <v>51</v>
      </c>
      <c r="B255">
        <v>157</v>
      </c>
      <c r="C255">
        <v>0</v>
      </c>
    </row>
    <row r="256" spans="1:3">
      <c r="A256">
        <v>43</v>
      </c>
      <c r="B256">
        <v>181</v>
      </c>
      <c r="C256">
        <v>0</v>
      </c>
    </row>
    <row r="257" spans="1:3">
      <c r="A257">
        <v>42</v>
      </c>
      <c r="B257">
        <v>173</v>
      </c>
      <c r="C257">
        <v>0</v>
      </c>
    </row>
    <row r="258" spans="1:3">
      <c r="A258">
        <v>67</v>
      </c>
      <c r="B258">
        <v>142</v>
      </c>
      <c r="C258">
        <v>0</v>
      </c>
    </row>
    <row r="259" spans="1:3">
      <c r="A259">
        <v>76</v>
      </c>
      <c r="B259">
        <v>116</v>
      </c>
      <c r="C259">
        <v>0</v>
      </c>
    </row>
    <row r="260" spans="1:3">
      <c r="A260">
        <v>70</v>
      </c>
      <c r="B260">
        <v>143</v>
      </c>
      <c r="C260">
        <v>0</v>
      </c>
    </row>
    <row r="261" spans="1:3">
      <c r="A261">
        <v>57</v>
      </c>
      <c r="B261">
        <v>141</v>
      </c>
      <c r="C261">
        <v>1</v>
      </c>
    </row>
    <row r="262" spans="1:3">
      <c r="A262">
        <v>44</v>
      </c>
      <c r="B262">
        <v>149</v>
      </c>
      <c r="C262">
        <v>0</v>
      </c>
    </row>
    <row r="263" spans="1:3">
      <c r="A263">
        <v>58</v>
      </c>
      <c r="B263">
        <v>152</v>
      </c>
      <c r="C263">
        <v>1</v>
      </c>
    </row>
    <row r="264" spans="1:3">
      <c r="A264">
        <v>60</v>
      </c>
      <c r="B264">
        <v>171</v>
      </c>
      <c r="C264">
        <v>0</v>
      </c>
    </row>
    <row r="265" spans="1:3">
      <c r="A265">
        <v>44</v>
      </c>
      <c r="B265">
        <v>169</v>
      </c>
      <c r="C265">
        <v>0</v>
      </c>
    </row>
    <row r="266" spans="1:3">
      <c r="A266">
        <v>61</v>
      </c>
      <c r="B266">
        <v>125</v>
      </c>
      <c r="C266">
        <v>1</v>
      </c>
    </row>
    <row r="267" spans="1:3">
      <c r="A267">
        <v>42</v>
      </c>
      <c r="B267">
        <v>125</v>
      </c>
      <c r="C267">
        <v>1</v>
      </c>
    </row>
    <row r="268" spans="1:3">
      <c r="A268">
        <v>52</v>
      </c>
      <c r="B268">
        <v>156</v>
      </c>
      <c r="C268">
        <v>1</v>
      </c>
    </row>
    <row r="269" spans="1:3">
      <c r="A269">
        <v>59</v>
      </c>
      <c r="B269">
        <v>134</v>
      </c>
      <c r="C269">
        <v>1</v>
      </c>
    </row>
    <row r="270" spans="1:3">
      <c r="A270">
        <v>40</v>
      </c>
      <c r="B270">
        <v>181</v>
      </c>
      <c r="C270">
        <v>1</v>
      </c>
    </row>
    <row r="271" spans="1:3">
      <c r="A271">
        <v>42</v>
      </c>
      <c r="B271">
        <v>150</v>
      </c>
      <c r="C271">
        <v>0</v>
      </c>
    </row>
    <row r="272" spans="1:3">
      <c r="A272">
        <v>61</v>
      </c>
      <c r="B272">
        <v>138</v>
      </c>
      <c r="C272">
        <v>1</v>
      </c>
    </row>
    <row r="273" spans="1:3">
      <c r="A273">
        <v>66</v>
      </c>
      <c r="B273">
        <v>138</v>
      </c>
      <c r="C273">
        <v>0</v>
      </c>
    </row>
    <row r="274" spans="1:3">
      <c r="A274">
        <v>46</v>
      </c>
      <c r="B274">
        <v>120</v>
      </c>
      <c r="C274">
        <v>1</v>
      </c>
    </row>
    <row r="275" spans="1:3">
      <c r="A275">
        <v>71</v>
      </c>
      <c r="B275">
        <v>125</v>
      </c>
      <c r="C275">
        <v>0</v>
      </c>
    </row>
    <row r="276" spans="1:3">
      <c r="A276">
        <v>59</v>
      </c>
      <c r="B276">
        <v>162</v>
      </c>
      <c r="C276">
        <v>1</v>
      </c>
    </row>
    <row r="277" spans="1:3">
      <c r="A277">
        <v>64</v>
      </c>
      <c r="B277">
        <v>155</v>
      </c>
      <c r="C277">
        <v>0</v>
      </c>
    </row>
    <row r="278" spans="1:3">
      <c r="A278">
        <v>66</v>
      </c>
      <c r="B278">
        <v>152</v>
      </c>
      <c r="C278">
        <v>0</v>
      </c>
    </row>
    <row r="279" spans="1:3">
      <c r="A279">
        <v>39</v>
      </c>
      <c r="B279">
        <v>152</v>
      </c>
      <c r="C279">
        <v>0</v>
      </c>
    </row>
    <row r="280" spans="1:3">
      <c r="A280">
        <v>57</v>
      </c>
      <c r="B280">
        <v>164</v>
      </c>
      <c r="C280">
        <v>1</v>
      </c>
    </row>
    <row r="281" spans="1:3">
      <c r="A281">
        <v>58</v>
      </c>
      <c r="B281">
        <v>131</v>
      </c>
      <c r="C281">
        <v>0</v>
      </c>
    </row>
    <row r="282" spans="1:3">
      <c r="A282">
        <v>57</v>
      </c>
      <c r="B282">
        <v>143</v>
      </c>
      <c r="C282">
        <v>1</v>
      </c>
    </row>
    <row r="283" spans="1:3">
      <c r="A283">
        <v>47</v>
      </c>
      <c r="B283">
        <v>179</v>
      </c>
      <c r="C283">
        <v>0</v>
      </c>
    </row>
    <row r="284" spans="1:3">
      <c r="A284">
        <v>55</v>
      </c>
      <c r="B284">
        <v>130</v>
      </c>
      <c r="C284">
        <v>1</v>
      </c>
    </row>
    <row r="285" spans="1:3">
      <c r="A285">
        <v>35</v>
      </c>
      <c r="B285">
        <v>174</v>
      </c>
      <c r="C285">
        <v>0</v>
      </c>
    </row>
    <row r="286" spans="1:3">
      <c r="A286">
        <v>61</v>
      </c>
      <c r="B286">
        <v>161</v>
      </c>
      <c r="C286">
        <v>1</v>
      </c>
    </row>
    <row r="287" spans="1:3">
      <c r="A287">
        <v>58</v>
      </c>
      <c r="B287">
        <v>140</v>
      </c>
      <c r="C287">
        <v>1</v>
      </c>
    </row>
    <row r="288" spans="1:3">
      <c r="A288">
        <v>58</v>
      </c>
      <c r="B288">
        <v>146</v>
      </c>
      <c r="C288">
        <v>1</v>
      </c>
    </row>
    <row r="289" spans="1:3">
      <c r="A289">
        <v>58</v>
      </c>
      <c r="B289">
        <v>144</v>
      </c>
      <c r="C289">
        <v>0</v>
      </c>
    </row>
    <row r="290" spans="1:3">
      <c r="A290">
        <v>56</v>
      </c>
      <c r="B290">
        <v>163</v>
      </c>
      <c r="C290">
        <v>0</v>
      </c>
    </row>
    <row r="291" spans="1:3">
      <c r="A291">
        <v>56</v>
      </c>
      <c r="B291">
        <v>169</v>
      </c>
      <c r="C291">
        <v>0</v>
      </c>
    </row>
    <row r="292" spans="1:3">
      <c r="A292">
        <v>67</v>
      </c>
      <c r="B292">
        <v>150</v>
      </c>
      <c r="C292">
        <v>1</v>
      </c>
    </row>
    <row r="293" spans="1:3">
      <c r="A293">
        <v>55</v>
      </c>
      <c r="B293">
        <v>166</v>
      </c>
      <c r="C293">
        <v>0</v>
      </c>
    </row>
    <row r="294" spans="1:3">
      <c r="A294">
        <v>44</v>
      </c>
      <c r="B294">
        <v>144</v>
      </c>
      <c r="C294">
        <v>1</v>
      </c>
    </row>
    <row r="295" spans="1:3">
      <c r="A295">
        <v>63</v>
      </c>
      <c r="B295">
        <v>144</v>
      </c>
      <c r="C295">
        <v>1</v>
      </c>
    </row>
    <row r="296" spans="1:3">
      <c r="A296">
        <v>63</v>
      </c>
      <c r="B296">
        <v>136</v>
      </c>
      <c r="C296">
        <v>1</v>
      </c>
    </row>
    <row r="297" spans="1:3">
      <c r="A297">
        <v>41</v>
      </c>
      <c r="B297">
        <v>182</v>
      </c>
      <c r="C297">
        <v>0</v>
      </c>
    </row>
    <row r="298" spans="1:3">
      <c r="A298">
        <v>59</v>
      </c>
      <c r="B298">
        <v>90</v>
      </c>
      <c r="C298">
        <v>1</v>
      </c>
    </row>
    <row r="299" spans="1:3">
      <c r="A299">
        <v>57</v>
      </c>
      <c r="B299">
        <v>123</v>
      </c>
      <c r="C299">
        <v>1</v>
      </c>
    </row>
    <row r="300" spans="1:3">
      <c r="A300">
        <v>45</v>
      </c>
      <c r="B300">
        <v>132</v>
      </c>
      <c r="C300">
        <v>1</v>
      </c>
    </row>
    <row r="301" spans="1:3">
      <c r="A301">
        <v>68</v>
      </c>
      <c r="B301">
        <v>141</v>
      </c>
      <c r="C301">
        <v>1</v>
      </c>
    </row>
    <row r="302" spans="1:3">
      <c r="A302">
        <v>57</v>
      </c>
      <c r="B302">
        <v>115</v>
      </c>
      <c r="C302">
        <v>1</v>
      </c>
    </row>
    <row r="303" spans="1:3">
      <c r="A303">
        <v>57</v>
      </c>
      <c r="B303">
        <v>174</v>
      </c>
      <c r="C303">
        <v>1</v>
      </c>
    </row>
    <row r="304" spans="1:3">
      <c r="A304">
        <v>38</v>
      </c>
      <c r="B304">
        <v>173</v>
      </c>
      <c r="C304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39"/>
  <sheetViews>
    <sheetView workbookViewId="0"/>
  </sheetViews>
  <sheetFormatPr defaultRowHeight="15"/>
  <cols>
    <col min="1" max="1" width="14.7109375" customWidth="1"/>
    <col min="2" max="4" width="18.7109375" style="3" customWidth="1"/>
  </cols>
  <sheetData>
    <row r="1" spans="1:4">
      <c r="A1" s="1" t="s">
        <v>34</v>
      </c>
      <c r="B1" s="1" t="s">
        <v>35</v>
      </c>
      <c r="C1" s="1" t="s">
        <v>36</v>
      </c>
      <c r="D1" s="1" t="s">
        <v>37</v>
      </c>
    </row>
    <row r="2" spans="1:4">
      <c r="A2" s="5">
        <v>42380</v>
      </c>
      <c r="B2" s="3">
        <v>136.6666666666667</v>
      </c>
      <c r="C2" s="3">
        <v>125.8467257181677</v>
      </c>
      <c r="D2" s="3">
        <v>4.650436103523265</v>
      </c>
    </row>
    <row r="3" spans="1:4">
      <c r="A3" s="5">
        <v>42381</v>
      </c>
      <c r="B3" s="3">
        <v>85.69444444444444</v>
      </c>
      <c r="C3" s="3">
        <v>96.43761545794086</v>
      </c>
      <c r="D3" s="3">
        <v>4.13657912450767</v>
      </c>
    </row>
    <row r="4" spans="1:4">
      <c r="A4" s="5">
        <v>42382</v>
      </c>
      <c r="B4" s="3">
        <v>97.01388888888889</v>
      </c>
      <c r="C4" s="3">
        <v>102.0768931416024</v>
      </c>
      <c r="D4" s="3">
        <v>4.225680867611313</v>
      </c>
    </row>
    <row r="5" spans="1:4">
      <c r="A5" s="5">
        <v>42383</v>
      </c>
      <c r="B5" s="3">
        <v>151.3888888888889</v>
      </c>
      <c r="C5" s="3">
        <v>175.7048188644335</v>
      </c>
      <c r="D5" s="3">
        <v>4.548989152906978</v>
      </c>
    </row>
    <row r="6" spans="1:4">
      <c r="A6" s="5">
        <v>42384</v>
      </c>
      <c r="B6" s="3">
        <v>125.3472222222222</v>
      </c>
      <c r="C6" s="3">
        <v>122.4054548492238</v>
      </c>
      <c r="D6" s="3">
        <v>4.501446004381616</v>
      </c>
    </row>
    <row r="7" spans="1:4">
      <c r="A7" s="5">
        <v>42385</v>
      </c>
      <c r="B7" s="3">
        <v>125.2777777777778</v>
      </c>
      <c r="C7" s="3">
        <v>146.6595145533122</v>
      </c>
      <c r="D7" s="3">
        <v>4.465103453828303</v>
      </c>
    </row>
    <row r="8" spans="1:4">
      <c r="A8" s="5">
        <v>42386</v>
      </c>
      <c r="B8" s="3">
        <v>142.7083333333333</v>
      </c>
      <c r="C8" s="3">
        <v>147.4407253187446</v>
      </c>
      <c r="D8" s="3">
        <v>4.615595238092151</v>
      </c>
    </row>
    <row r="9" spans="1:4">
      <c r="A9" s="5">
        <v>42387</v>
      </c>
      <c r="B9" s="3">
        <v>93.95833333333333</v>
      </c>
      <c r="C9" s="3">
        <v>144.9389490476903</v>
      </c>
      <c r="D9" s="3">
        <v>4.04491158708214</v>
      </c>
    </row>
    <row r="10" spans="1:4">
      <c r="A10" s="5">
        <v>42388</v>
      </c>
      <c r="B10" s="3">
        <v>83.26388888888889</v>
      </c>
      <c r="C10" s="3">
        <v>112.7335484787157</v>
      </c>
      <c r="D10" s="3">
        <v>4.019612633832058</v>
      </c>
    </row>
    <row r="11" spans="1:4">
      <c r="A11" s="5">
        <v>42389</v>
      </c>
      <c r="B11" s="3">
        <v>114.4444444444444</v>
      </c>
      <c r="C11" s="3">
        <v>128.421169952609</v>
      </c>
      <c r="D11" s="3">
        <v>4.375910624613739</v>
      </c>
    </row>
    <row r="12" spans="1:4">
      <c r="A12" s="5">
        <v>42390</v>
      </c>
      <c r="B12" s="3">
        <v>92.63888888888889</v>
      </c>
      <c r="C12" s="3">
        <v>141.4262322781003</v>
      </c>
      <c r="D12" s="3">
        <v>4.135161750014832</v>
      </c>
    </row>
    <row r="13" spans="1:4">
      <c r="A13" s="5">
        <v>42391</v>
      </c>
      <c r="B13" s="3">
        <v>45.69444444444444</v>
      </c>
      <c r="C13" s="3">
        <v>47.65336342634218</v>
      </c>
      <c r="D13" s="3">
        <v>3.688768152950057</v>
      </c>
    </row>
    <row r="14" spans="1:4">
      <c r="A14" s="5">
        <v>42392</v>
      </c>
      <c r="B14" s="3">
        <v>93.05555555555556</v>
      </c>
      <c r="C14" s="3">
        <v>67.02757785192745</v>
      </c>
      <c r="D14" s="3">
        <v>4.318900883894641</v>
      </c>
    </row>
    <row r="15" spans="1:4">
      <c r="A15" s="5">
        <v>42393</v>
      </c>
      <c r="B15" s="3">
        <v>150.2777777777778</v>
      </c>
      <c r="C15" s="3">
        <v>178.5917892710278</v>
      </c>
      <c r="D15" s="3">
        <v>4.508671211304954</v>
      </c>
    </row>
    <row r="16" spans="1:4">
      <c r="A16" s="5">
        <v>42394</v>
      </c>
      <c r="B16" s="3">
        <v>65.76388888888889</v>
      </c>
      <c r="C16" s="3">
        <v>71.11086450399158</v>
      </c>
      <c r="D16" s="3">
        <v>3.983065066761786</v>
      </c>
    </row>
    <row r="17" spans="1:4">
      <c r="A17" s="5">
        <v>42395</v>
      </c>
      <c r="B17" s="3">
        <v>71.31944444444444</v>
      </c>
      <c r="C17" s="3">
        <v>99.06024533929948</v>
      </c>
      <c r="D17" s="3">
        <v>3.918982613774296</v>
      </c>
    </row>
    <row r="18" spans="1:4">
      <c r="A18" s="5">
        <v>42396</v>
      </c>
      <c r="B18" s="3">
        <v>45.625</v>
      </c>
      <c r="C18" s="3">
        <v>45.96621973409775</v>
      </c>
      <c r="D18" s="3">
        <v>3.693530915518513</v>
      </c>
    </row>
    <row r="19" spans="1:4">
      <c r="A19" s="5">
        <v>42397</v>
      </c>
      <c r="B19" s="3">
        <v>37.5</v>
      </c>
      <c r="C19" s="3">
        <v>10.544610528076</v>
      </c>
      <c r="D19" s="3">
        <v>3.602045851922769</v>
      </c>
    </row>
    <row r="20" spans="1:4">
      <c r="A20" s="5">
        <v>42398</v>
      </c>
      <c r="B20" s="3">
        <v>48.05555555555556</v>
      </c>
      <c r="C20" s="3">
        <v>21.09842992129379</v>
      </c>
      <c r="D20" s="3">
        <v>3.7982762120338</v>
      </c>
    </row>
    <row r="21" spans="1:4">
      <c r="A21" s="5">
        <v>42399</v>
      </c>
      <c r="B21" s="3">
        <v>130.4861111111111</v>
      </c>
      <c r="C21" s="3">
        <v>164.7771534383948</v>
      </c>
      <c r="D21" s="3">
        <v>4.384642363078664</v>
      </c>
    </row>
    <row r="22" spans="1:4">
      <c r="A22" s="5">
        <v>42400</v>
      </c>
      <c r="B22" s="3">
        <v>129.4444444444445</v>
      </c>
      <c r="C22" s="3">
        <v>127.9793349674477</v>
      </c>
      <c r="D22" s="3">
        <v>4.518044643836273</v>
      </c>
    </row>
    <row r="23" spans="1:4">
      <c r="A23" s="5">
        <v>42401</v>
      </c>
      <c r="B23" s="3">
        <v>155.9027777777778</v>
      </c>
      <c r="C23" s="3">
        <v>157.8324028988262</v>
      </c>
      <c r="D23" s="3">
        <v>4.617696213212227</v>
      </c>
    </row>
    <row r="24" spans="1:4">
      <c r="A24" s="5">
        <v>42402</v>
      </c>
      <c r="B24" s="3">
        <v>77.91666666666667</v>
      </c>
      <c r="C24" s="3">
        <v>68.00735254367723</v>
      </c>
      <c r="D24" s="3">
        <v>4.220543677903476</v>
      </c>
    </row>
    <row r="25" spans="1:4">
      <c r="A25" s="5">
        <v>42403</v>
      </c>
      <c r="B25" s="3">
        <v>132.9166666666667</v>
      </c>
      <c r="C25" s="3">
        <v>105.046609701552</v>
      </c>
      <c r="D25" s="3">
        <v>4.672803791892937</v>
      </c>
    </row>
    <row r="26" spans="1:4">
      <c r="A26" s="5">
        <v>42404</v>
      </c>
      <c r="B26" s="3">
        <v>100.3472222222222</v>
      </c>
      <c r="C26" s="3">
        <v>102.8095747659656</v>
      </c>
      <c r="D26" s="3">
        <v>4.330777549563454</v>
      </c>
    </row>
    <row r="27" spans="1:4">
      <c r="A27" s="5">
        <v>42405</v>
      </c>
      <c r="B27" s="3">
        <v>62.56944444444444</v>
      </c>
      <c r="C27" s="3">
        <v>56.25549269565114</v>
      </c>
      <c r="D27" s="3">
        <v>3.988904661523529</v>
      </c>
    </row>
    <row r="28" spans="1:4">
      <c r="A28" s="5">
        <v>42406</v>
      </c>
      <c r="B28" s="3">
        <v>83.19444444444444</v>
      </c>
      <c r="C28" s="3">
        <v>78.58586482783117</v>
      </c>
      <c r="D28" s="3">
        <v>4.214642491398208</v>
      </c>
    </row>
    <row r="29" spans="1:4">
      <c r="A29" s="5">
        <v>42407</v>
      </c>
      <c r="B29" s="3">
        <v>79.375</v>
      </c>
      <c r="C29" s="3">
        <v>71.6364046803333</v>
      </c>
      <c r="D29" s="3">
        <v>4.156352358385731</v>
      </c>
    </row>
    <row r="30" spans="1:4">
      <c r="A30" s="5">
        <v>42408</v>
      </c>
      <c r="B30" s="3">
        <v>147.3611111111111</v>
      </c>
      <c r="C30" s="3">
        <v>155.3790137619554</v>
      </c>
      <c r="D30" s="3">
        <v>4.595340128020782</v>
      </c>
    </row>
    <row r="31" spans="1:4">
      <c r="A31" s="5">
        <v>42409</v>
      </c>
      <c r="B31" s="3">
        <v>125.7638888888889</v>
      </c>
      <c r="C31" s="3">
        <v>115.7316637207294</v>
      </c>
      <c r="D31" s="3">
        <v>4.564680093408417</v>
      </c>
    </row>
    <row r="32" spans="1:4">
      <c r="A32" s="5">
        <v>42410</v>
      </c>
      <c r="B32" s="3">
        <v>96.38888888888889</v>
      </c>
      <c r="C32" s="3">
        <v>68.44538541618991</v>
      </c>
      <c r="D32" s="3">
        <v>4.475947339764254</v>
      </c>
    </row>
    <row r="33" spans="1:4">
      <c r="A33" s="5">
        <v>42411</v>
      </c>
      <c r="B33" s="3">
        <v>106.25</v>
      </c>
      <c r="C33" s="3">
        <v>103.8010132399985</v>
      </c>
      <c r="D33" s="3">
        <v>4.437163881676621</v>
      </c>
    </row>
    <row r="34" spans="1:4">
      <c r="A34" s="5">
        <v>42412</v>
      </c>
      <c r="B34" s="3">
        <v>117.8472222222222</v>
      </c>
      <c r="C34" s="3">
        <v>119.9426622598991</v>
      </c>
      <c r="D34" s="3">
        <v>4.484345352241426</v>
      </c>
    </row>
    <row r="35" spans="1:4">
      <c r="A35" s="5">
        <v>42413</v>
      </c>
      <c r="B35" s="3">
        <v>96.11111111111111</v>
      </c>
      <c r="C35" s="3">
        <v>93.27087487236358</v>
      </c>
      <c r="D35" s="3">
        <v>4.335988459319267</v>
      </c>
    </row>
    <row r="36" spans="1:4">
      <c r="A36" s="5">
        <v>42414</v>
      </c>
      <c r="B36" s="3">
        <v>102.4305555555556</v>
      </c>
      <c r="C36" s="3">
        <v>75.42185811955765</v>
      </c>
      <c r="D36" s="3">
        <v>4.466633000079611</v>
      </c>
    </row>
    <row r="37" spans="1:4">
      <c r="A37" s="5">
        <v>42415</v>
      </c>
      <c r="B37" s="3">
        <v>117.7083333333333</v>
      </c>
      <c r="C37" s="3">
        <v>121.2794193276318</v>
      </c>
      <c r="D37" s="3">
        <v>4.44257829062107</v>
      </c>
    </row>
    <row r="38" spans="1:4">
      <c r="A38" s="5">
        <v>42416</v>
      </c>
      <c r="B38" s="3">
        <v>93.19444444444444</v>
      </c>
      <c r="C38" s="3">
        <v>98.71660913933846</v>
      </c>
      <c r="D38" s="3">
        <v>4.257353313299071</v>
      </c>
    </row>
    <row r="39" spans="1:4">
      <c r="A39" s="5">
        <v>42417</v>
      </c>
      <c r="B39" s="3">
        <v>66.80555555555556</v>
      </c>
      <c r="C39" s="3">
        <v>22.08226126614443</v>
      </c>
      <c r="D39" s="3">
        <v>4.166883281229295</v>
      </c>
    </row>
    <row r="40" spans="1:4">
      <c r="A40" s="5">
        <v>42418</v>
      </c>
      <c r="B40" s="3">
        <v>83.75</v>
      </c>
      <c r="C40" s="3">
        <v>77.36820510286613</v>
      </c>
      <c r="D40" s="3">
        <v>4.233016341430464</v>
      </c>
    </row>
    <row r="41" spans="1:4">
      <c r="A41" s="5">
        <v>42419</v>
      </c>
      <c r="B41" s="3">
        <v>119.0972222222222</v>
      </c>
      <c r="C41" s="3">
        <v>136.1812510556543</v>
      </c>
      <c r="D41" s="3">
        <v>4.344313478941004</v>
      </c>
    </row>
    <row r="42" spans="1:4">
      <c r="A42" s="5">
        <v>42420</v>
      </c>
      <c r="B42" s="3">
        <v>100.7638888888889</v>
      </c>
      <c r="C42" s="3">
        <v>101.8574340374176</v>
      </c>
      <c r="D42" s="3">
        <v>4.311130688342576</v>
      </c>
    </row>
    <row r="43" spans="1:4">
      <c r="A43" s="5">
        <v>42421</v>
      </c>
      <c r="B43" s="3">
        <v>88.61111111111111</v>
      </c>
      <c r="C43" s="3">
        <v>76.74871458444885</v>
      </c>
      <c r="D43" s="3">
        <v>4.281281109887099</v>
      </c>
    </row>
    <row r="44" spans="1:4">
      <c r="A44" s="5">
        <v>42422</v>
      </c>
      <c r="B44" s="3">
        <v>93.40277777777777</v>
      </c>
      <c r="C44" s="3">
        <v>78.09052658216835</v>
      </c>
      <c r="D44" s="3">
        <v>4.32618942779831</v>
      </c>
    </row>
    <row r="45" spans="1:4">
      <c r="A45" s="5">
        <v>42423</v>
      </c>
      <c r="B45" s="3">
        <v>88.68055555555556</v>
      </c>
      <c r="C45" s="3">
        <v>74.22557310782923</v>
      </c>
      <c r="D45" s="3">
        <v>4.29782451595348</v>
      </c>
    </row>
    <row r="46" spans="1:4">
      <c r="A46" s="5">
        <v>42424</v>
      </c>
      <c r="B46" s="3">
        <v>77.98611111111111</v>
      </c>
      <c r="C46" s="3">
        <v>48.85514282626733</v>
      </c>
      <c r="D46" s="3">
        <v>4.246607989822889</v>
      </c>
    </row>
    <row r="47" spans="1:4">
      <c r="A47" s="5">
        <v>42425</v>
      </c>
      <c r="B47" s="3">
        <v>125.0694444444444</v>
      </c>
      <c r="C47" s="3">
        <v>132.9756091404083</v>
      </c>
      <c r="D47" s="3">
        <v>4.497686538747798</v>
      </c>
    </row>
    <row r="48" spans="1:4">
      <c r="A48" s="5">
        <v>42426</v>
      </c>
      <c r="B48" s="3">
        <v>94.09722222222223</v>
      </c>
      <c r="C48" s="3">
        <v>102.9115527262984</v>
      </c>
      <c r="D48" s="3">
        <v>4.227374038073417</v>
      </c>
    </row>
    <row r="49" spans="1:4">
      <c r="A49" s="5">
        <v>42427</v>
      </c>
      <c r="B49" s="3">
        <v>83.26388888888889</v>
      </c>
      <c r="C49" s="3">
        <v>69.30049961081988</v>
      </c>
      <c r="D49" s="3">
        <v>4.248064376814246</v>
      </c>
    </row>
    <row r="50" spans="1:4">
      <c r="A50" s="5">
        <v>42428</v>
      </c>
      <c r="B50" s="3">
        <v>53.47222222222222</v>
      </c>
      <c r="C50" s="3">
        <v>19.51579759749408</v>
      </c>
      <c r="D50" s="3">
        <v>3.945102670734982</v>
      </c>
    </row>
    <row r="51" spans="1:4">
      <c r="A51" s="5">
        <v>42429</v>
      </c>
      <c r="B51" s="3">
        <v>157.1527777777778</v>
      </c>
      <c r="C51" s="3">
        <v>160.7180704651725</v>
      </c>
      <c r="D51" s="3">
        <v>4.64748505114718</v>
      </c>
    </row>
    <row r="52" spans="1:4">
      <c r="A52" s="5">
        <v>42430</v>
      </c>
      <c r="B52" s="3">
        <v>72.36111111111111</v>
      </c>
      <c r="C52" s="3">
        <v>73.21761902588568</v>
      </c>
      <c r="D52" s="3">
        <v>4.080074119220324</v>
      </c>
    </row>
    <row r="53" spans="1:4">
      <c r="A53" s="5">
        <v>42431</v>
      </c>
      <c r="B53" s="3">
        <v>92.77777777777777</v>
      </c>
      <c r="C53" s="3">
        <v>79.76753326297214</v>
      </c>
      <c r="D53" s="3">
        <v>4.326292531524461</v>
      </c>
    </row>
    <row r="54" spans="1:4">
      <c r="A54" s="5">
        <v>42432</v>
      </c>
      <c r="B54" s="3">
        <v>82.01388888888889</v>
      </c>
      <c r="C54" s="3">
        <v>66.00042234566193</v>
      </c>
      <c r="D54" s="3">
        <v>4.237068498599953</v>
      </c>
    </row>
    <row r="55" spans="1:4">
      <c r="A55" s="5">
        <v>42433</v>
      </c>
      <c r="B55" s="3">
        <v>95.34722222222223</v>
      </c>
      <c r="C55" s="3">
        <v>99.70525229338389</v>
      </c>
      <c r="D55" s="3">
        <v>4.261352891876419</v>
      </c>
    </row>
    <row r="56" spans="1:4">
      <c r="A56" s="5">
        <v>42434</v>
      </c>
      <c r="B56" s="3">
        <v>91.38888888888889</v>
      </c>
      <c r="C56" s="3">
        <v>99.41515067318552</v>
      </c>
      <c r="D56" s="3">
        <v>4.250324833890755</v>
      </c>
    </row>
    <row r="57" spans="1:4">
      <c r="A57" s="5">
        <v>42435</v>
      </c>
      <c r="B57" s="3">
        <v>89.72222222222223</v>
      </c>
      <c r="C57" s="3">
        <v>92.07738038326231</v>
      </c>
      <c r="D57" s="3">
        <v>4.237284189554946</v>
      </c>
    </row>
    <row r="58" spans="1:4">
      <c r="A58" s="5">
        <v>42436</v>
      </c>
      <c r="B58" s="3">
        <v>142.6388888888889</v>
      </c>
      <c r="C58" s="3">
        <v>148.3144745875579</v>
      </c>
      <c r="D58" s="3">
        <v>4.555878705936016</v>
      </c>
    </row>
    <row r="59" spans="1:4">
      <c r="A59" s="5">
        <v>42437</v>
      </c>
      <c r="B59" s="3">
        <v>74.79166666666667</v>
      </c>
      <c r="C59" s="3">
        <v>90.17441336196661</v>
      </c>
      <c r="D59" s="3">
        <v>4.086572614309061</v>
      </c>
    </row>
    <row r="60" spans="1:4">
      <c r="A60" s="5">
        <v>42438</v>
      </c>
      <c r="B60" s="3">
        <v>86.80555555555556</v>
      </c>
      <c r="C60" s="3">
        <v>67.93304784785522</v>
      </c>
      <c r="D60" s="3">
        <v>4.286492494448691</v>
      </c>
    </row>
    <row r="61" spans="1:4">
      <c r="A61" s="5">
        <v>42439</v>
      </c>
      <c r="B61" s="3">
        <v>92.91666666666667</v>
      </c>
      <c r="C61" s="3">
        <v>109.5947717093018</v>
      </c>
      <c r="D61" s="3">
        <v>4.258928143001622</v>
      </c>
    </row>
    <row r="62" spans="1:4">
      <c r="A62" s="5">
        <v>42440</v>
      </c>
      <c r="B62" s="3">
        <v>71.04166666666667</v>
      </c>
      <c r="C62" s="3">
        <v>61.23117664235264</v>
      </c>
      <c r="D62" s="3">
        <v>4.08278064934306</v>
      </c>
    </row>
    <row r="63" spans="1:4">
      <c r="A63" s="5">
        <v>42441</v>
      </c>
      <c r="B63" s="3">
        <v>98.61111111111111</v>
      </c>
      <c r="C63" s="3">
        <v>86.4903172648533</v>
      </c>
      <c r="D63" s="3">
        <v>4.357149977401029</v>
      </c>
    </row>
    <row r="64" spans="1:4">
      <c r="A64" s="5">
        <v>42442</v>
      </c>
      <c r="B64" s="3">
        <v>67.91666666666667</v>
      </c>
      <c r="C64" s="3">
        <v>27.19715637130682</v>
      </c>
      <c r="D64" s="3">
        <v>4.163469775653931</v>
      </c>
    </row>
    <row r="65" spans="1:4">
      <c r="A65" s="5">
        <v>42443</v>
      </c>
      <c r="B65" s="3">
        <v>164.0277777777778</v>
      </c>
      <c r="C65" s="3">
        <v>169.1456088263511</v>
      </c>
      <c r="D65" s="3">
        <v>4.675990581138039</v>
      </c>
    </row>
    <row r="66" spans="1:4">
      <c r="A66" s="5">
        <v>42444</v>
      </c>
      <c r="B66" s="3">
        <v>97.29166666666667</v>
      </c>
      <c r="C66" s="3">
        <v>95.58958563106592</v>
      </c>
      <c r="D66" s="3">
        <v>4.316248696527126</v>
      </c>
    </row>
    <row r="67" spans="1:4">
      <c r="A67" s="5">
        <v>42445</v>
      </c>
      <c r="B67" s="3">
        <v>158.4027777777778</v>
      </c>
      <c r="C67" s="3">
        <v>169.0601878772679</v>
      </c>
      <c r="D67" s="3">
        <v>4.652343241214457</v>
      </c>
    </row>
    <row r="68" spans="1:4">
      <c r="A68" s="5">
        <v>42446</v>
      </c>
      <c r="B68" s="3">
        <v>86.875</v>
      </c>
      <c r="C68" s="3">
        <v>75.47026228595269</v>
      </c>
      <c r="D68" s="3">
        <v>4.289088849744363</v>
      </c>
    </row>
    <row r="69" spans="1:4">
      <c r="A69" s="5">
        <v>42447</v>
      </c>
      <c r="B69" s="3">
        <v>62.63888888888889</v>
      </c>
      <c r="C69" s="3">
        <v>31.82087345702483</v>
      </c>
      <c r="D69" s="3">
        <v>4.065922836082804</v>
      </c>
    </row>
    <row r="70" spans="1:4">
      <c r="A70" s="5">
        <v>42448</v>
      </c>
      <c r="B70" s="3">
        <v>113.6805555555556</v>
      </c>
      <c r="C70" s="3">
        <v>108.7355586603192</v>
      </c>
      <c r="D70" s="3">
        <v>4.463659745215947</v>
      </c>
    </row>
    <row r="71" spans="1:4">
      <c r="A71" s="5">
        <v>42449</v>
      </c>
      <c r="B71" s="3">
        <v>112.1527777777778</v>
      </c>
      <c r="C71" s="3">
        <v>88.45340280483541</v>
      </c>
      <c r="D71" s="3">
        <v>4.522330196347932</v>
      </c>
    </row>
    <row r="72" spans="1:4">
      <c r="A72" s="5">
        <v>42450</v>
      </c>
      <c r="B72" s="3">
        <v>77.77777777777777</v>
      </c>
      <c r="C72" s="3">
        <v>71.48225311021268</v>
      </c>
      <c r="D72" s="3">
        <v>4.197159695752164</v>
      </c>
    </row>
    <row r="73" spans="1:4">
      <c r="A73" s="5">
        <v>42451</v>
      </c>
      <c r="B73" s="3">
        <v>71.11111111111111</v>
      </c>
      <c r="C73" s="3">
        <v>68.14331987445316</v>
      </c>
      <c r="D73" s="3">
        <v>4.105387450041905</v>
      </c>
    </row>
    <row r="74" spans="1:4">
      <c r="A74" s="5">
        <v>42452</v>
      </c>
      <c r="B74" s="3">
        <v>85.06944444444444</v>
      </c>
      <c r="C74" s="3">
        <v>54.03956757807065</v>
      </c>
      <c r="D74" s="3">
        <v>4.326200730786298</v>
      </c>
    </row>
    <row r="75" spans="1:4">
      <c r="A75" s="5">
        <v>42453</v>
      </c>
      <c r="B75" s="3">
        <v>70.13888888888889</v>
      </c>
      <c r="C75" s="3">
        <v>56.85198683553995</v>
      </c>
      <c r="D75" s="3">
        <v>4.128958130495196</v>
      </c>
    </row>
    <row r="76" spans="1:4">
      <c r="A76" s="5">
        <v>42454</v>
      </c>
      <c r="B76" s="3">
        <v>180.4166666666667</v>
      </c>
      <c r="C76" s="3">
        <v>180.9295153104919</v>
      </c>
      <c r="D76" s="3">
        <v>4.768634014027382</v>
      </c>
    </row>
    <row r="77" spans="1:4">
      <c r="A77" s="5">
        <v>42455</v>
      </c>
      <c r="B77" s="3">
        <v>108.9583333333333</v>
      </c>
      <c r="C77" s="3">
        <v>102.5733150728539</v>
      </c>
      <c r="D77" s="3">
        <v>4.465903454245621</v>
      </c>
    </row>
    <row r="78" spans="1:4">
      <c r="A78" s="5">
        <v>42456</v>
      </c>
      <c r="B78" s="3">
        <v>73.05555555555556</v>
      </c>
      <c r="C78" s="3">
        <v>25.01126397372443</v>
      </c>
      <c r="D78" s="3">
        <v>4.257143892856359</v>
      </c>
    </row>
    <row r="79" spans="1:4">
      <c r="A79" s="5">
        <v>42457</v>
      </c>
      <c r="B79" s="3">
        <v>127.2916666666667</v>
      </c>
      <c r="C79" s="3">
        <v>120.4955893920482</v>
      </c>
      <c r="D79" s="3">
        <v>4.580547570285495</v>
      </c>
    </row>
    <row r="80" spans="1:4">
      <c r="A80" s="5">
        <v>42458</v>
      </c>
      <c r="B80" s="3">
        <v>91.45833333333333</v>
      </c>
      <c r="C80" s="3">
        <v>59.49635647303483</v>
      </c>
      <c r="D80" s="3">
        <v>4.413117549790536</v>
      </c>
    </row>
    <row r="81" spans="1:4">
      <c r="A81" s="5">
        <v>42459</v>
      </c>
      <c r="B81" s="3">
        <v>87.70833333333333</v>
      </c>
      <c r="C81" s="3">
        <v>58.61715004774865</v>
      </c>
      <c r="D81" s="3">
        <v>4.37512290684803</v>
      </c>
    </row>
    <row r="82" spans="1:4">
      <c r="A82" s="5">
        <v>42460</v>
      </c>
      <c r="B82" s="3">
        <v>79.16666666666667</v>
      </c>
      <c r="C82" s="3">
        <v>50.33454513121615</v>
      </c>
      <c r="D82" s="3">
        <v>4.274203531494143</v>
      </c>
    </row>
    <row r="83" spans="1:4">
      <c r="A83" s="5">
        <v>42461</v>
      </c>
      <c r="B83" s="3">
        <v>59.58333333333334</v>
      </c>
      <c r="C83" s="3">
        <v>52.18143441782813</v>
      </c>
      <c r="D83" s="3">
        <v>3.974921197871156</v>
      </c>
    </row>
    <row r="84" spans="1:4">
      <c r="A84" s="5">
        <v>42462</v>
      </c>
      <c r="B84" s="3">
        <v>50.69444444444444</v>
      </c>
      <c r="C84" s="3">
        <v>10.88096932242222</v>
      </c>
      <c r="D84" s="3">
        <v>3.920085729238487</v>
      </c>
    </row>
    <row r="85" spans="1:4">
      <c r="A85" s="5">
        <v>42463</v>
      </c>
      <c r="B85" s="3">
        <v>71.80555555555556</v>
      </c>
      <c r="C85" s="3">
        <v>23.34456938923739</v>
      </c>
      <c r="D85" s="3">
        <v>4.237070416523313</v>
      </c>
    </row>
    <row r="86" spans="1:4">
      <c r="A86" s="5">
        <v>42464</v>
      </c>
      <c r="B86" s="3">
        <v>188.5416666666667</v>
      </c>
      <c r="C86" s="3">
        <v>191.6690356598302</v>
      </c>
      <c r="D86" s="3">
        <v>4.842485554209919</v>
      </c>
    </row>
    <row r="87" spans="1:4">
      <c r="A87" s="5">
        <v>42465</v>
      </c>
      <c r="B87" s="3">
        <v>154.8611111111111</v>
      </c>
      <c r="C87" s="3">
        <v>155.1988848596982</v>
      </c>
      <c r="D87" s="3">
        <v>4.703811366126335</v>
      </c>
    </row>
    <row r="88" spans="1:4">
      <c r="A88" s="5">
        <v>42466</v>
      </c>
      <c r="B88" s="3">
        <v>87.56944444444444</v>
      </c>
      <c r="C88" s="3">
        <v>58.37240616154008</v>
      </c>
      <c r="D88" s="3">
        <v>4.360962915243281</v>
      </c>
    </row>
    <row r="89" spans="1:4">
      <c r="A89" s="5">
        <v>42467</v>
      </c>
      <c r="B89" s="3">
        <v>68.81944444444444</v>
      </c>
      <c r="C89" s="3">
        <v>53.4606126207613</v>
      </c>
      <c r="D89" s="3">
        <v>4.106694044734866</v>
      </c>
    </row>
    <row r="90" spans="1:4">
      <c r="A90" s="5">
        <v>42468</v>
      </c>
      <c r="B90" s="3">
        <v>134.4444444444445</v>
      </c>
      <c r="C90" s="3">
        <v>140.919943437508</v>
      </c>
      <c r="D90" s="3">
        <v>4.56935188137707</v>
      </c>
    </row>
    <row r="91" spans="1:4">
      <c r="A91" s="5">
        <v>42469</v>
      </c>
      <c r="B91" s="3">
        <v>105.2083333333333</v>
      </c>
      <c r="C91" s="3">
        <v>93.80808224085115</v>
      </c>
      <c r="D91" s="3">
        <v>4.434581993858896</v>
      </c>
    </row>
    <row r="92" spans="1:4">
      <c r="A92" s="5">
        <v>42470</v>
      </c>
      <c r="B92" s="3">
        <v>74.16666666666667</v>
      </c>
      <c r="C92" s="3">
        <v>49.28155160576145</v>
      </c>
      <c r="D92" s="3">
        <v>4.204900838443094</v>
      </c>
    </row>
    <row r="93" spans="1:4">
      <c r="A93" s="5">
        <v>42471</v>
      </c>
      <c r="B93" s="3">
        <v>77.84722222222223</v>
      </c>
      <c r="C93" s="3">
        <v>45.88162321532825</v>
      </c>
      <c r="D93" s="3">
        <v>4.272845730184006</v>
      </c>
    </row>
    <row r="94" spans="1:4">
      <c r="A94" s="5">
        <v>42472</v>
      </c>
      <c r="B94" s="3">
        <v>110.4166666666667</v>
      </c>
      <c r="C94" s="3">
        <v>133.5207744240468</v>
      </c>
      <c r="D94" s="3">
        <v>4.379311546900886</v>
      </c>
    </row>
    <row r="95" spans="1:4">
      <c r="A95" s="5">
        <v>42473</v>
      </c>
      <c r="B95" s="3">
        <v>94.23611111111111</v>
      </c>
      <c r="C95" s="3">
        <v>78.82511279502495</v>
      </c>
      <c r="D95" s="3">
        <v>4.358587863852212</v>
      </c>
    </row>
    <row r="96" spans="1:4">
      <c r="A96" s="5">
        <v>42474</v>
      </c>
      <c r="B96" s="3">
        <v>85.76388888888889</v>
      </c>
      <c r="C96" s="3">
        <v>71.59110642416779</v>
      </c>
      <c r="D96" s="3">
        <v>4.30395920763826</v>
      </c>
    </row>
    <row r="97" spans="1:4">
      <c r="A97" s="5">
        <v>42475</v>
      </c>
      <c r="B97" s="3">
        <v>131.3888888888889</v>
      </c>
      <c r="C97" s="3">
        <v>134.5368180096267</v>
      </c>
      <c r="D97" s="3">
        <v>4.579936856427283</v>
      </c>
    </row>
    <row r="98" spans="1:4">
      <c r="A98" s="5">
        <v>42476</v>
      </c>
      <c r="B98" s="3">
        <v>134.1666666666667</v>
      </c>
      <c r="C98" s="3">
        <v>136.0095636291853</v>
      </c>
      <c r="D98" s="3">
        <v>4.600859624909869</v>
      </c>
    </row>
    <row r="99" spans="1:4">
      <c r="A99" s="5">
        <v>42477</v>
      </c>
      <c r="B99" s="3">
        <v>105.9027777777778</v>
      </c>
      <c r="C99" s="3">
        <v>105.865815546478</v>
      </c>
      <c r="D99" s="3">
        <v>4.439460219849434</v>
      </c>
    </row>
    <row r="100" spans="1:4">
      <c r="A100" s="5">
        <v>42478</v>
      </c>
      <c r="B100" s="3">
        <v>71.80555555555556</v>
      </c>
      <c r="C100" s="3">
        <v>66.79111345121323</v>
      </c>
      <c r="D100" s="3">
        <v>4.134833735107816</v>
      </c>
    </row>
    <row r="101" spans="1:4">
      <c r="A101" s="5">
        <v>42479</v>
      </c>
      <c r="B101" s="3">
        <v>72.43055555555556</v>
      </c>
      <c r="C101" s="3">
        <v>73.56312666875711</v>
      </c>
      <c r="D101" s="3">
        <v>4.111751213939369</v>
      </c>
    </row>
    <row r="102" spans="1:4">
      <c r="A102" s="5">
        <v>42480</v>
      </c>
      <c r="B102" s="3">
        <v>80.625</v>
      </c>
      <c r="C102" s="3">
        <v>71.69495159295444</v>
      </c>
      <c r="D102" s="3">
        <v>4.209474329277967</v>
      </c>
    </row>
    <row r="103" spans="1:4">
      <c r="A103" s="5">
        <v>42481</v>
      </c>
      <c r="B103" s="3">
        <v>76.875</v>
      </c>
      <c r="C103" s="3">
        <v>60.60843891021175</v>
      </c>
      <c r="D103" s="3">
        <v>4.207684661696309</v>
      </c>
    </row>
    <row r="104" spans="1:4">
      <c r="A104" s="5">
        <v>42482</v>
      </c>
      <c r="B104" s="3">
        <v>170.625</v>
      </c>
      <c r="C104" s="3">
        <v>166.1249792814396</v>
      </c>
      <c r="D104" s="3">
        <v>4.805605937404729</v>
      </c>
    </row>
    <row r="105" spans="1:4">
      <c r="A105" s="5">
        <v>42483</v>
      </c>
      <c r="B105" s="3">
        <v>105</v>
      </c>
      <c r="C105" s="3">
        <v>88.80716911777614</v>
      </c>
      <c r="D105" s="3">
        <v>4.462669159665529</v>
      </c>
    </row>
    <row r="106" spans="1:4">
      <c r="A106" s="5">
        <v>42484</v>
      </c>
      <c r="B106" s="3">
        <v>81.80555555555556</v>
      </c>
      <c r="C106" s="3">
        <v>46.83929940680121</v>
      </c>
      <c r="D106" s="3">
        <v>4.329082899583037</v>
      </c>
    </row>
    <row r="107" spans="1:4">
      <c r="A107" s="5">
        <v>42485</v>
      </c>
      <c r="B107" s="3">
        <v>75.13888888888889</v>
      </c>
      <c r="C107" s="3">
        <v>40.4863114415405</v>
      </c>
      <c r="D107" s="3">
        <v>4.263330065217584</v>
      </c>
    </row>
    <row r="108" spans="1:4">
      <c r="A108" s="5">
        <v>42486</v>
      </c>
      <c r="B108" s="3">
        <v>74.02777777777777</v>
      </c>
      <c r="C108" s="3">
        <v>69.73796554520237</v>
      </c>
      <c r="D108" s="3">
        <v>4.144394752610769</v>
      </c>
    </row>
    <row r="109" spans="1:4">
      <c r="A109" s="5">
        <v>42487</v>
      </c>
      <c r="B109" s="3">
        <v>75.06944444444444</v>
      </c>
      <c r="C109" s="3">
        <v>35.92915577430445</v>
      </c>
      <c r="D109" s="3">
        <v>4.250916474378817</v>
      </c>
    </row>
    <row r="110" spans="1:4">
      <c r="A110" s="5">
        <v>42488</v>
      </c>
      <c r="B110" s="3">
        <v>95.90277777777777</v>
      </c>
      <c r="C110" s="3">
        <v>99.83492104850616</v>
      </c>
      <c r="D110" s="3">
        <v>4.312939707638075</v>
      </c>
    </row>
    <row r="111" spans="1:4">
      <c r="A111" s="5">
        <v>42489</v>
      </c>
      <c r="B111" s="3">
        <v>111.5277777777778</v>
      </c>
      <c r="C111" s="3">
        <v>114.0440317642321</v>
      </c>
      <c r="D111" s="3">
        <v>4.416312049470302</v>
      </c>
    </row>
    <row r="112" spans="1:4">
      <c r="A112" s="5">
        <v>42490</v>
      </c>
      <c r="B112" s="3">
        <v>140.4166666666667</v>
      </c>
      <c r="C112" s="3">
        <v>157.5195625546636</v>
      </c>
      <c r="D112" s="3">
        <v>4.54657738006747</v>
      </c>
    </row>
    <row r="113" spans="1:4">
      <c r="A113" s="5">
        <v>42491</v>
      </c>
      <c r="B113" s="3">
        <v>97.84722222222223</v>
      </c>
      <c r="C113" s="3">
        <v>82.59060034263747</v>
      </c>
      <c r="D113" s="3">
        <v>4.395639218275587</v>
      </c>
    </row>
    <row r="114" spans="1:4">
      <c r="A114" s="5">
        <v>42492</v>
      </c>
      <c r="B114" s="3">
        <v>85.625</v>
      </c>
      <c r="C114" s="3">
        <v>62.83198541832331</v>
      </c>
      <c r="D114" s="3">
        <v>4.303214463814419</v>
      </c>
    </row>
    <row r="115" spans="1:4">
      <c r="A115" s="5">
        <v>42493</v>
      </c>
      <c r="B115" s="3">
        <v>69.72222222222223</v>
      </c>
      <c r="C115" s="3">
        <v>54.59250754766517</v>
      </c>
      <c r="D115" s="3">
        <v>4.111903374924545</v>
      </c>
    </row>
    <row r="116" spans="1:4">
      <c r="A116" s="5">
        <v>42494</v>
      </c>
      <c r="B116" s="3">
        <v>78.95833333333333</v>
      </c>
      <c r="C116" s="3">
        <v>47.97608305660795</v>
      </c>
      <c r="D116" s="3">
        <v>4.284089533189192</v>
      </c>
    </row>
    <row r="117" spans="1:4">
      <c r="A117" s="5">
        <v>42495</v>
      </c>
      <c r="B117" s="3">
        <v>84.02777777777777</v>
      </c>
      <c r="C117" s="3">
        <v>73.78213482140117</v>
      </c>
      <c r="D117" s="3">
        <v>4.264150257639479</v>
      </c>
    </row>
    <row r="118" spans="1:4">
      <c r="A118" s="5">
        <v>42496</v>
      </c>
      <c r="B118" s="3">
        <v>100.7638888888889</v>
      </c>
      <c r="C118" s="3">
        <v>94.26253963890629</v>
      </c>
      <c r="D118" s="3">
        <v>4.421536235455047</v>
      </c>
    </row>
    <row r="119" spans="1:4">
      <c r="A119" s="5">
        <v>42497</v>
      </c>
      <c r="B119" s="3">
        <v>97.15277777777777</v>
      </c>
      <c r="C119" s="3">
        <v>81.65819255782246</v>
      </c>
      <c r="D119" s="3">
        <v>4.4184942569102</v>
      </c>
    </row>
    <row r="120" spans="1:4">
      <c r="A120" s="5">
        <v>42498</v>
      </c>
      <c r="B120" s="3">
        <v>68.54166666666667</v>
      </c>
      <c r="C120" s="3">
        <v>56.70397613122829</v>
      </c>
      <c r="D120" s="3">
        <v>4.123514897628902</v>
      </c>
    </row>
    <row r="121" spans="1:4">
      <c r="A121" s="5">
        <v>42499</v>
      </c>
      <c r="B121" s="3">
        <v>85.06944444444444</v>
      </c>
      <c r="C121" s="3">
        <v>68.99879929813493</v>
      </c>
      <c r="D121" s="3">
        <v>4.31296110571238</v>
      </c>
    </row>
    <row r="122" spans="1:4">
      <c r="A122" s="5">
        <v>42500</v>
      </c>
      <c r="B122" s="3">
        <v>65.97222222222223</v>
      </c>
      <c r="C122" s="3">
        <v>29.85558350385847</v>
      </c>
      <c r="D122" s="3">
        <v>4.15530173406842</v>
      </c>
    </row>
    <row r="123" spans="1:4">
      <c r="A123" s="5">
        <v>42501</v>
      </c>
      <c r="B123" s="3">
        <v>74.09722222222223</v>
      </c>
      <c r="C123" s="3">
        <v>42.35073656189332</v>
      </c>
      <c r="D123" s="3">
        <v>4.247092972903939</v>
      </c>
    </row>
    <row r="124" spans="1:4">
      <c r="A124" s="5">
        <v>42502</v>
      </c>
      <c r="B124" s="3">
        <v>72.22222222222223</v>
      </c>
      <c r="C124" s="3">
        <v>47.67964841888909</v>
      </c>
      <c r="D124" s="3">
        <v>4.199477436476787</v>
      </c>
    </row>
    <row r="125" spans="1:4">
      <c r="A125" s="5">
        <v>42503</v>
      </c>
      <c r="B125" s="3">
        <v>168.6111111111111</v>
      </c>
      <c r="C125" s="3">
        <v>146.9151846613259</v>
      </c>
      <c r="D125" s="3">
        <v>4.811465827396299</v>
      </c>
    </row>
    <row r="126" spans="1:4">
      <c r="A126" s="5">
        <v>42504</v>
      </c>
      <c r="B126" s="3">
        <v>99.58333333333333</v>
      </c>
      <c r="C126" s="3">
        <v>78.74784934348224</v>
      </c>
      <c r="D126" s="3">
        <v>4.468079636855483</v>
      </c>
    </row>
    <row r="127" spans="1:4">
      <c r="A127" s="5">
        <v>42505</v>
      </c>
      <c r="B127" s="3">
        <v>104.0277777777778</v>
      </c>
      <c r="C127" s="3">
        <v>71.64714864050006</v>
      </c>
      <c r="D127" s="3">
        <v>4.499825264226258</v>
      </c>
    </row>
    <row r="128" spans="1:4">
      <c r="A128" s="5">
        <v>42506</v>
      </c>
      <c r="B128" s="3">
        <v>100.1388888888889</v>
      </c>
      <c r="C128" s="3">
        <v>86.48526380083982</v>
      </c>
      <c r="D128" s="3">
        <v>4.427329583192509</v>
      </c>
    </row>
    <row r="129" spans="1:4">
      <c r="A129" s="5">
        <v>42507</v>
      </c>
      <c r="B129" s="3">
        <v>66.04166666666667</v>
      </c>
      <c r="C129" s="3">
        <v>37.00725217152326</v>
      </c>
      <c r="D129" s="3">
        <v>4.121134058557067</v>
      </c>
    </row>
    <row r="130" spans="1:4">
      <c r="A130" s="5">
        <v>42508</v>
      </c>
      <c r="B130" s="3">
        <v>82.22222222222223</v>
      </c>
      <c r="C130" s="3">
        <v>55.75225473748939</v>
      </c>
      <c r="D130" s="3">
        <v>4.297072712240429</v>
      </c>
    </row>
    <row r="131" spans="1:4">
      <c r="A131" s="5">
        <v>42509</v>
      </c>
      <c r="B131" s="3">
        <v>70</v>
      </c>
      <c r="C131" s="3">
        <v>53.58478022096081</v>
      </c>
      <c r="D131" s="3">
        <v>4.151211546794123</v>
      </c>
    </row>
    <row r="132" spans="1:4">
      <c r="A132" s="5">
        <v>42510</v>
      </c>
      <c r="B132" s="3">
        <v>64.72222222222223</v>
      </c>
      <c r="C132" s="3">
        <v>20.92091149267971</v>
      </c>
      <c r="D132" s="3">
        <v>4.139291060260286</v>
      </c>
    </row>
    <row r="133" spans="1:4">
      <c r="A133" s="5">
        <v>42511</v>
      </c>
      <c r="B133" s="3">
        <v>161.6666666666667</v>
      </c>
      <c r="C133" s="3">
        <v>159.649966765145</v>
      </c>
      <c r="D133" s="3">
        <v>4.739947653210384</v>
      </c>
    </row>
    <row r="134" spans="1:4">
      <c r="A134" s="5">
        <v>42512</v>
      </c>
      <c r="B134" s="3">
        <v>110.1388888888889</v>
      </c>
      <c r="C134" s="3">
        <v>88.75980088588669</v>
      </c>
      <c r="D134" s="3">
        <v>4.525446342094273</v>
      </c>
    </row>
    <row r="135" spans="1:4">
      <c r="A135" s="5">
        <v>42513</v>
      </c>
      <c r="B135" s="3">
        <v>83.05555555555556</v>
      </c>
      <c r="C135" s="3">
        <v>77.87633892732865</v>
      </c>
      <c r="D135" s="3">
        <v>4.261131138444274</v>
      </c>
    </row>
    <row r="136" spans="1:4">
      <c r="A136" s="5">
        <v>42514</v>
      </c>
      <c r="B136" s="3">
        <v>96.18055555555556</v>
      </c>
      <c r="C136" s="3">
        <v>61.81402886662675</v>
      </c>
      <c r="D136" s="3">
        <v>4.440485596118737</v>
      </c>
    </row>
    <row r="137" spans="1:4">
      <c r="A137" s="5">
        <v>42515</v>
      </c>
      <c r="B137" s="3">
        <v>83.88888888888889</v>
      </c>
      <c r="C137" s="3">
        <v>60.39625690146574</v>
      </c>
      <c r="D137" s="3">
        <v>4.305936185705364</v>
      </c>
    </row>
    <row r="138" spans="1:4">
      <c r="A138" s="5">
        <v>42516</v>
      </c>
      <c r="B138" s="3">
        <v>147.0138888888889</v>
      </c>
      <c r="C138" s="3">
        <v>158.2070868299911</v>
      </c>
      <c r="D138" s="3">
        <v>4.643345468227585</v>
      </c>
    </row>
    <row r="139" spans="1:4">
      <c r="A139" s="5">
        <v>42517</v>
      </c>
      <c r="B139" s="3">
        <v>136.3302752293578</v>
      </c>
      <c r="C139" s="3">
        <v>125.6513441178695</v>
      </c>
      <c r="D139" s="3">
        <v>4.630798391784753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01"/>
  <sheetViews>
    <sheetView workbookViewId="0"/>
  </sheetViews>
  <sheetFormatPr defaultRowHeight="15"/>
  <cols>
    <col min="1" max="5" width="18.7109375" style="3" customWidth="1"/>
  </cols>
  <sheetData>
    <row r="1" spans="1:7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G1" s="6" t="s">
        <v>43</v>
      </c>
    </row>
    <row r="2" spans="1:7">
      <c r="A2" s="3">
        <v>40</v>
      </c>
      <c r="B2" s="3">
        <v>3.713572066704308</v>
      </c>
      <c r="C2" s="3">
        <v>1.77</v>
      </c>
      <c r="D2" s="3">
        <v>88.33333333</v>
      </c>
      <c r="E2" s="3">
        <v>2.333333333</v>
      </c>
      <c r="G2" t="s">
        <v>44</v>
      </c>
    </row>
    <row r="3" spans="1:7">
      <c r="A3" s="3">
        <v>90</v>
      </c>
      <c r="B3" s="3">
        <v>4.51085950651685</v>
      </c>
      <c r="C3" s="3">
        <v>2.7</v>
      </c>
      <c r="D3" s="3">
        <v>90</v>
      </c>
      <c r="E3" s="3">
        <v>3</v>
      </c>
      <c r="G3" t="s">
        <v>45</v>
      </c>
    </row>
    <row r="4" spans="1:7">
      <c r="A4" s="3">
        <v>50</v>
      </c>
      <c r="B4" s="3">
        <v>3.931825632724326</v>
      </c>
      <c r="C4" s="3">
        <v>0.2</v>
      </c>
      <c r="D4" s="3">
        <v>83</v>
      </c>
      <c r="E4" s="3">
        <v>2</v>
      </c>
    </row>
    <row r="5" spans="1:7">
      <c r="A5" s="3">
        <v>50</v>
      </c>
      <c r="B5" s="3">
        <v>3.931825632724326</v>
      </c>
      <c r="C5" s="3">
        <v>8.85</v>
      </c>
      <c r="D5" s="3">
        <v>70.83333333</v>
      </c>
      <c r="E5" s="3">
        <v>5.166666667</v>
      </c>
    </row>
    <row r="6" spans="1:7">
      <c r="A6" s="3">
        <v>70</v>
      </c>
      <c r="B6" s="3">
        <v>4.262679877041315</v>
      </c>
      <c r="C6" s="3">
        <v>-0.467</v>
      </c>
      <c r="D6" s="3">
        <v>93.33333333</v>
      </c>
      <c r="E6" s="3">
        <v>4</v>
      </c>
    </row>
    <row r="7" spans="1:7">
      <c r="A7" s="3">
        <v>120</v>
      </c>
      <c r="B7" s="3">
        <v>4.795790545596741</v>
      </c>
      <c r="C7" s="3">
        <v>7.55</v>
      </c>
      <c r="D7" s="3">
        <v>78.5</v>
      </c>
      <c r="E7" s="3">
        <v>3.5</v>
      </c>
    </row>
    <row r="8" spans="1:7">
      <c r="A8" s="3">
        <v>120</v>
      </c>
      <c r="B8" s="3">
        <v>4.795790545596741</v>
      </c>
      <c r="C8" s="3">
        <v>6.57</v>
      </c>
      <c r="D8" s="3">
        <v>64.33333333</v>
      </c>
      <c r="E8" s="3">
        <v>5.333333333</v>
      </c>
    </row>
    <row r="9" spans="1:7">
      <c r="A9" s="3">
        <v>70</v>
      </c>
      <c r="B9" s="3">
        <v>4.262679877041315</v>
      </c>
      <c r="C9" s="3">
        <v>9.68</v>
      </c>
      <c r="D9" s="3">
        <v>67</v>
      </c>
      <c r="E9" s="3">
        <v>6</v>
      </c>
    </row>
    <row r="10" spans="1:7">
      <c r="A10" s="3">
        <v>50</v>
      </c>
      <c r="B10" s="3">
        <v>3.931825632724326</v>
      </c>
      <c r="C10" s="3">
        <v>7.6</v>
      </c>
      <c r="D10" s="3">
        <v>88.66666667</v>
      </c>
      <c r="E10" s="3">
        <v>2.666666667</v>
      </c>
    </row>
    <row r="11" spans="1:7">
      <c r="A11" s="3">
        <v>70</v>
      </c>
      <c r="B11" s="3">
        <v>4.262679877041315</v>
      </c>
      <c r="C11" s="3">
        <v>3.17</v>
      </c>
      <c r="D11" s="3">
        <v>88.33333333</v>
      </c>
      <c r="E11" s="3">
        <v>3</v>
      </c>
    </row>
    <row r="12" spans="1:7">
      <c r="A12" s="3">
        <v>110</v>
      </c>
      <c r="B12" s="3">
        <v>4.709530201312334</v>
      </c>
      <c r="C12" s="3">
        <v>3.5</v>
      </c>
      <c r="D12" s="3">
        <v>83.33333333</v>
      </c>
      <c r="E12" s="3">
        <v>8.333333333000001</v>
      </c>
    </row>
    <row r="13" spans="1:7">
      <c r="A13" s="3">
        <v>70</v>
      </c>
      <c r="B13" s="3">
        <v>4.262679877041315</v>
      </c>
      <c r="C13" s="3">
        <v>10</v>
      </c>
      <c r="D13" s="3">
        <v>70.66666667</v>
      </c>
      <c r="E13" s="3">
        <v>5.333333333</v>
      </c>
    </row>
    <row r="14" spans="1:7">
      <c r="A14" s="3">
        <v>100</v>
      </c>
      <c r="B14" s="3">
        <v>4.61512051684126</v>
      </c>
      <c r="C14" s="3">
        <v>3.5</v>
      </c>
      <c r="D14" s="3">
        <v>78</v>
      </c>
      <c r="E14" s="3">
        <v>4</v>
      </c>
    </row>
    <row r="15" spans="1:7">
      <c r="A15" s="3">
        <v>110</v>
      </c>
      <c r="B15" s="3">
        <v>4.709530201312334</v>
      </c>
      <c r="C15" s="3">
        <v>6.9</v>
      </c>
      <c r="D15" s="3">
        <v>96</v>
      </c>
      <c r="E15" s="3">
        <v>8</v>
      </c>
    </row>
    <row r="16" spans="1:7">
      <c r="A16" s="3">
        <v>120</v>
      </c>
      <c r="B16" s="3">
        <v>4.795790545596741</v>
      </c>
      <c r="C16" s="3">
        <v>10.6</v>
      </c>
      <c r="D16" s="3">
        <v>65</v>
      </c>
      <c r="E16" s="3">
        <v>2</v>
      </c>
    </row>
    <row r="17" spans="1:5">
      <c r="A17" s="3">
        <v>50</v>
      </c>
      <c r="B17" s="3">
        <v>3.931825632724326</v>
      </c>
      <c r="C17" s="3">
        <v>1.3</v>
      </c>
      <c r="D17" s="3">
        <v>91</v>
      </c>
      <c r="E17" s="3">
        <v>2</v>
      </c>
    </row>
    <row r="18" spans="1:5">
      <c r="A18" s="3">
        <v>50</v>
      </c>
      <c r="B18" s="3">
        <v>3.931825632724326</v>
      </c>
      <c r="C18" s="3">
        <v>9.6</v>
      </c>
      <c r="D18" s="3">
        <v>92.83333333</v>
      </c>
      <c r="E18" s="3">
        <v>4.5</v>
      </c>
    </row>
    <row r="19" spans="1:5">
      <c r="A19" s="3">
        <v>50</v>
      </c>
      <c r="B19" s="3">
        <v>3.931825632724326</v>
      </c>
      <c r="C19" s="3">
        <v>0.25</v>
      </c>
      <c r="D19" s="3">
        <v>95.5</v>
      </c>
      <c r="E19" s="3">
        <v>2</v>
      </c>
    </row>
    <row r="20" spans="1:5">
      <c r="A20" s="3">
        <v>30</v>
      </c>
      <c r="B20" s="3">
        <v>3.433987204485146</v>
      </c>
      <c r="C20" s="3">
        <v>2.67</v>
      </c>
      <c r="D20" s="3">
        <v>91.5</v>
      </c>
      <c r="E20" s="3">
        <v>1</v>
      </c>
    </row>
    <row r="21" spans="1:5">
      <c r="A21" s="3">
        <v>140</v>
      </c>
      <c r="B21" s="3">
        <v>4.948759890378168</v>
      </c>
      <c r="C21" s="3">
        <v>4.97</v>
      </c>
      <c r="D21" s="3">
        <v>91.66666667</v>
      </c>
      <c r="E21" s="3">
        <v>2</v>
      </c>
    </row>
    <row r="22" spans="1:5">
      <c r="A22" s="3">
        <v>60</v>
      </c>
      <c r="B22" s="3">
        <v>4.110873864173311</v>
      </c>
      <c r="C22" s="3">
        <v>3.17</v>
      </c>
      <c r="D22" s="3">
        <v>93.66666667</v>
      </c>
      <c r="E22" s="3">
        <v>6</v>
      </c>
    </row>
    <row r="23" spans="1:5">
      <c r="A23" s="3">
        <v>60</v>
      </c>
      <c r="B23" s="3">
        <v>4.110873864173311</v>
      </c>
      <c r="C23" s="3">
        <v>9.5</v>
      </c>
      <c r="D23" s="3">
        <v>62</v>
      </c>
      <c r="E23" s="3">
        <v>2</v>
      </c>
    </row>
    <row r="24" spans="1:5">
      <c r="A24" s="3">
        <v>20</v>
      </c>
      <c r="B24" s="3">
        <v>3.044522437723423</v>
      </c>
      <c r="C24" s="3">
        <v>4.6</v>
      </c>
      <c r="D24" s="3">
        <v>100</v>
      </c>
      <c r="E24" s="3">
        <v>4</v>
      </c>
    </row>
    <row r="25" spans="1:5">
      <c r="A25" s="3">
        <v>40</v>
      </c>
      <c r="B25" s="3">
        <v>3.713572066704308</v>
      </c>
      <c r="C25" s="3">
        <v>11</v>
      </c>
      <c r="D25" s="3">
        <v>81.33333333</v>
      </c>
      <c r="E25" s="3">
        <v>9</v>
      </c>
    </row>
    <row r="26" spans="1:5">
      <c r="A26" s="3">
        <v>340</v>
      </c>
      <c r="B26" s="3">
        <v>5.831882477283517</v>
      </c>
      <c r="C26" s="3">
        <v>12.1</v>
      </c>
      <c r="D26" s="3">
        <v>59</v>
      </c>
      <c r="E26" s="3">
        <v>1</v>
      </c>
    </row>
    <row r="27" spans="1:5">
      <c r="A27" s="3">
        <v>70</v>
      </c>
      <c r="B27" s="3">
        <v>4.262679877041315</v>
      </c>
      <c r="C27" s="3">
        <v>14.9</v>
      </c>
      <c r="D27" s="3">
        <v>72.33333333</v>
      </c>
      <c r="E27" s="3">
        <v>6</v>
      </c>
    </row>
    <row r="28" spans="1:5">
      <c r="A28" s="3">
        <v>100</v>
      </c>
      <c r="B28" s="3">
        <v>4.61512051684126</v>
      </c>
      <c r="C28" s="3">
        <v>5.9</v>
      </c>
      <c r="D28" s="3">
        <v>66</v>
      </c>
      <c r="E28" s="3">
        <v>3</v>
      </c>
    </row>
    <row r="29" spans="1:5">
      <c r="A29" s="3">
        <v>60</v>
      </c>
      <c r="B29" s="3">
        <v>4.110873864173311</v>
      </c>
      <c r="C29" s="3">
        <v>10.6</v>
      </c>
      <c r="D29" s="3">
        <v>89.83333333</v>
      </c>
      <c r="E29" s="3">
        <v>8.166666666999999</v>
      </c>
    </row>
    <row r="30" spans="1:5">
      <c r="A30" s="3">
        <v>60</v>
      </c>
      <c r="B30" s="3">
        <v>4.110873864173311</v>
      </c>
      <c r="C30" s="3">
        <v>14.8</v>
      </c>
      <c r="D30" s="3">
        <v>89</v>
      </c>
      <c r="E30" s="3">
        <v>2</v>
      </c>
    </row>
    <row r="31" spans="1:5">
      <c r="A31" s="3">
        <v>130</v>
      </c>
      <c r="B31" s="3">
        <v>4.875197323201151</v>
      </c>
      <c r="C31" s="3">
        <v>5.77</v>
      </c>
      <c r="D31" s="3">
        <v>79.66666667</v>
      </c>
      <c r="E31" s="3">
        <v>2.166666667</v>
      </c>
    </row>
    <row r="32" spans="1:5">
      <c r="A32" s="3">
        <v>60</v>
      </c>
      <c r="B32" s="3">
        <v>4.110873864173311</v>
      </c>
      <c r="C32" s="3">
        <v>8.77</v>
      </c>
      <c r="D32" s="3">
        <v>83.33333333</v>
      </c>
      <c r="E32" s="3">
        <v>2.666666667</v>
      </c>
    </row>
    <row r="33" spans="1:5">
      <c r="A33" s="3">
        <v>50</v>
      </c>
      <c r="B33" s="3">
        <v>3.931825632724326</v>
      </c>
      <c r="C33" s="3">
        <v>2.87</v>
      </c>
      <c r="D33" s="3">
        <v>95</v>
      </c>
      <c r="E33" s="3">
        <v>6</v>
      </c>
    </row>
    <row r="34" spans="1:5">
      <c r="A34" s="3">
        <v>50</v>
      </c>
      <c r="B34" s="3">
        <v>3.931825632724326</v>
      </c>
      <c r="C34" s="3">
        <v>12.9</v>
      </c>
      <c r="D34" s="3">
        <v>48</v>
      </c>
      <c r="E34" s="3">
        <v>2.5</v>
      </c>
    </row>
    <row r="35" spans="1:5">
      <c r="A35" s="3">
        <v>80</v>
      </c>
      <c r="B35" s="3">
        <v>4.394449154672439</v>
      </c>
      <c r="C35" s="3">
        <v>7.15</v>
      </c>
      <c r="D35" s="3">
        <v>91</v>
      </c>
      <c r="E35" s="3">
        <v>5</v>
      </c>
    </row>
    <row r="36" spans="1:5">
      <c r="A36" s="3">
        <v>40</v>
      </c>
      <c r="B36" s="3">
        <v>3.713572066704308</v>
      </c>
      <c r="C36" s="3">
        <v>9.43</v>
      </c>
      <c r="D36" s="3">
        <v>90.66666667</v>
      </c>
      <c r="E36" s="3">
        <v>6</v>
      </c>
    </row>
    <row r="37" spans="1:5">
      <c r="A37" s="3">
        <v>350</v>
      </c>
      <c r="B37" s="3">
        <v>5.860786223465865</v>
      </c>
      <c r="C37" s="3">
        <v>2.35</v>
      </c>
      <c r="D37" s="3">
        <v>93.5</v>
      </c>
      <c r="E37" s="3">
        <v>4</v>
      </c>
    </row>
    <row r="38" spans="1:5">
      <c r="A38" s="3">
        <v>100</v>
      </c>
      <c r="B38" s="3">
        <v>4.61512051684126</v>
      </c>
      <c r="C38" s="3">
        <v>4.87</v>
      </c>
      <c r="D38" s="3">
        <v>92.33333333</v>
      </c>
      <c r="E38" s="3">
        <v>2.333333333</v>
      </c>
    </row>
    <row r="39" spans="1:5">
      <c r="A39" s="3">
        <v>140</v>
      </c>
      <c r="B39" s="3">
        <v>4.948759890378168</v>
      </c>
      <c r="C39" s="3">
        <v>12.7</v>
      </c>
      <c r="D39" s="3">
        <v>75</v>
      </c>
      <c r="E39" s="3">
        <v>5.5</v>
      </c>
    </row>
    <row r="40" spans="1:5">
      <c r="A40" s="3">
        <v>50</v>
      </c>
      <c r="B40" s="3">
        <v>3.931825632724326</v>
      </c>
      <c r="C40" s="3">
        <v>12.4</v>
      </c>
      <c r="D40" s="3">
        <v>98.66666667</v>
      </c>
      <c r="E40" s="3">
        <v>1</v>
      </c>
    </row>
    <row r="41" spans="1:5">
      <c r="A41" s="3">
        <v>70</v>
      </c>
      <c r="B41" s="3">
        <v>4.262679877041315</v>
      </c>
      <c r="C41" s="3">
        <v>5.13</v>
      </c>
      <c r="D41" s="3">
        <v>82.66666667</v>
      </c>
      <c r="E41" s="3">
        <v>3</v>
      </c>
    </row>
    <row r="42" spans="1:5">
      <c r="A42" s="3">
        <v>50</v>
      </c>
      <c r="B42" s="3">
        <v>3.931825632724326</v>
      </c>
      <c r="C42" s="3">
        <v>17</v>
      </c>
      <c r="D42" s="3">
        <v>79</v>
      </c>
      <c r="E42" s="3">
        <v>4</v>
      </c>
    </row>
    <row r="43" spans="1:5">
      <c r="A43" s="3">
        <v>120</v>
      </c>
      <c r="B43" s="3">
        <v>4.795790545596741</v>
      </c>
      <c r="C43" s="3">
        <v>15</v>
      </c>
      <c r="D43" s="3">
        <v>59.66666667</v>
      </c>
      <c r="E43" s="3">
        <v>2.833333333</v>
      </c>
    </row>
    <row r="44" spans="1:5">
      <c r="A44" s="3">
        <v>60</v>
      </c>
      <c r="B44" s="3">
        <v>4.110873864173311</v>
      </c>
      <c r="C44" s="3">
        <v>15</v>
      </c>
      <c r="D44" s="3">
        <v>87.33333333</v>
      </c>
      <c r="E44" s="3">
        <v>2</v>
      </c>
    </row>
    <row r="45" spans="1:5">
      <c r="A45" s="3">
        <v>50</v>
      </c>
      <c r="B45" s="3">
        <v>3.931825632724326</v>
      </c>
      <c r="C45" s="3">
        <v>4.4</v>
      </c>
      <c r="D45" s="3">
        <v>86.5</v>
      </c>
      <c r="E45" s="3">
        <v>4.5</v>
      </c>
    </row>
    <row r="46" spans="1:5">
      <c r="A46" s="3">
        <v>50</v>
      </c>
      <c r="B46" s="3">
        <v>3.931825632724326</v>
      </c>
      <c r="C46" s="3">
        <v>7.33</v>
      </c>
      <c r="D46" s="3">
        <v>88.33333333</v>
      </c>
      <c r="E46" s="3">
        <v>5</v>
      </c>
    </row>
    <row r="47" spans="1:5">
      <c r="A47" s="3">
        <v>60</v>
      </c>
      <c r="B47" s="3">
        <v>4.110873864173311</v>
      </c>
      <c r="C47" s="3">
        <v>-0.25</v>
      </c>
      <c r="D47" s="3">
        <v>90.16666667</v>
      </c>
      <c r="E47" s="3">
        <v>3</v>
      </c>
    </row>
    <row r="48" spans="1:5">
      <c r="A48" s="3">
        <v>20</v>
      </c>
      <c r="B48" s="3">
        <v>3.044522437723423</v>
      </c>
      <c r="C48" s="3">
        <v>-2.37</v>
      </c>
      <c r="D48" s="3">
        <v>96</v>
      </c>
      <c r="E48" s="3">
        <v>1</v>
      </c>
    </row>
    <row r="49" spans="1:5">
      <c r="A49" s="3">
        <v>70</v>
      </c>
      <c r="B49" s="3">
        <v>4.262679877041315</v>
      </c>
      <c r="C49" s="3">
        <v>10.1</v>
      </c>
      <c r="D49" s="3">
        <v>93.66666667</v>
      </c>
      <c r="E49" s="3">
        <v>9</v>
      </c>
    </row>
    <row r="50" spans="1:5">
      <c r="A50" s="3">
        <v>40</v>
      </c>
      <c r="B50" s="3">
        <v>3.713572066704308</v>
      </c>
      <c r="C50" s="3">
        <v>-0.75</v>
      </c>
      <c r="D50" s="3">
        <v>75.5</v>
      </c>
      <c r="E50" s="3">
        <v>1</v>
      </c>
    </row>
    <row r="51" spans="1:5">
      <c r="A51" s="3">
        <v>60</v>
      </c>
      <c r="B51" s="3">
        <v>4.110873864173311</v>
      </c>
      <c r="C51" s="3">
        <v>5.97</v>
      </c>
      <c r="D51" s="3">
        <v>88</v>
      </c>
      <c r="E51" s="3">
        <v>3.333333333</v>
      </c>
    </row>
    <row r="52" spans="1:5">
      <c r="A52" s="3">
        <v>60</v>
      </c>
      <c r="B52" s="3">
        <v>4.110873864173311</v>
      </c>
      <c r="C52" s="3">
        <v>7.55</v>
      </c>
      <c r="D52" s="3">
        <v>95</v>
      </c>
      <c r="E52" s="3">
        <v>1</v>
      </c>
    </row>
    <row r="53" spans="1:5">
      <c r="A53" s="3">
        <v>330</v>
      </c>
      <c r="B53" s="3">
        <v>5.802118375377063</v>
      </c>
      <c r="C53" s="3">
        <v>9.300000000000001</v>
      </c>
      <c r="D53" s="3">
        <v>78</v>
      </c>
      <c r="E53" s="3">
        <v>4</v>
      </c>
    </row>
    <row r="54" spans="1:5">
      <c r="A54" s="3">
        <v>70</v>
      </c>
      <c r="B54" s="3">
        <v>4.262679877041315</v>
      </c>
      <c r="C54" s="3">
        <v>8.68</v>
      </c>
      <c r="D54" s="3">
        <v>76.83333333</v>
      </c>
      <c r="E54" s="3">
        <v>4.833333333</v>
      </c>
    </row>
    <row r="55" spans="1:5">
      <c r="A55" s="3">
        <v>50</v>
      </c>
      <c r="B55" s="3">
        <v>3.931825632724326</v>
      </c>
      <c r="C55" s="3">
        <v>10.9</v>
      </c>
      <c r="D55" s="3">
        <v>86.16666667</v>
      </c>
      <c r="E55" s="3">
        <v>4.666666667</v>
      </c>
    </row>
    <row r="56" spans="1:5">
      <c r="A56" s="3">
        <v>30</v>
      </c>
      <c r="B56" s="3">
        <v>3.433987204485146</v>
      </c>
      <c r="C56" s="3">
        <v>9.869999999999999</v>
      </c>
      <c r="D56" s="3">
        <v>80.33333333</v>
      </c>
      <c r="E56" s="3">
        <v>1.333333333</v>
      </c>
    </row>
    <row r="57" spans="1:5">
      <c r="A57" s="3">
        <v>270</v>
      </c>
      <c r="B57" s="3">
        <v>5.602118820879701</v>
      </c>
      <c r="C57" s="3">
        <v>8.35</v>
      </c>
      <c r="D57" s="3">
        <v>49</v>
      </c>
      <c r="E57" s="3">
        <v>8</v>
      </c>
    </row>
    <row r="58" spans="1:5">
      <c r="A58" s="3">
        <v>50</v>
      </c>
      <c r="B58" s="3">
        <v>3.931825632724326</v>
      </c>
      <c r="C58" s="3">
        <v>0.517</v>
      </c>
      <c r="D58" s="3">
        <v>88.83333333</v>
      </c>
      <c r="E58" s="3">
        <v>1</v>
      </c>
    </row>
    <row r="59" spans="1:5">
      <c r="A59" s="3">
        <v>240</v>
      </c>
      <c r="B59" s="3">
        <v>5.484796933490655</v>
      </c>
      <c r="C59" s="3">
        <v>5.3</v>
      </c>
      <c r="D59" s="3">
        <v>64.33333333</v>
      </c>
      <c r="E59" s="3">
        <v>6.666666667</v>
      </c>
    </row>
    <row r="60" spans="1:5">
      <c r="A60" s="3">
        <v>50</v>
      </c>
      <c r="B60" s="3">
        <v>3.931825632724326</v>
      </c>
      <c r="C60" s="3">
        <v>3.07</v>
      </c>
      <c r="D60" s="3">
        <v>88</v>
      </c>
      <c r="E60" s="3">
        <v>2.666666667</v>
      </c>
    </row>
    <row r="61" spans="1:5">
      <c r="A61" s="3">
        <v>40</v>
      </c>
      <c r="B61" s="3">
        <v>3.713572066704308</v>
      </c>
      <c r="C61" s="3">
        <v>2.5</v>
      </c>
      <c r="D61" s="3">
        <v>98</v>
      </c>
      <c r="E61" s="3">
        <v>3</v>
      </c>
    </row>
    <row r="62" spans="1:5">
      <c r="A62" s="3">
        <v>20</v>
      </c>
      <c r="B62" s="3">
        <v>3.044522437723423</v>
      </c>
      <c r="C62" s="3">
        <v>8.300000000000001</v>
      </c>
      <c r="D62" s="3">
        <v>94</v>
      </c>
      <c r="E62" s="3">
        <v>10.75</v>
      </c>
    </row>
    <row r="63" spans="1:5">
      <c r="A63" s="3">
        <v>40</v>
      </c>
      <c r="B63" s="3">
        <v>3.713572066704308</v>
      </c>
      <c r="C63" s="3">
        <v>7.25</v>
      </c>
      <c r="D63" s="3">
        <v>98.66666667</v>
      </c>
      <c r="E63" s="3">
        <v>1.833333333</v>
      </c>
    </row>
    <row r="64" spans="1:5">
      <c r="A64" s="3">
        <v>60</v>
      </c>
      <c r="B64" s="3">
        <v>4.110873864173311</v>
      </c>
      <c r="C64" s="3">
        <v>8.07</v>
      </c>
      <c r="D64" s="3">
        <v>97</v>
      </c>
      <c r="E64" s="3">
        <v>2</v>
      </c>
    </row>
    <row r="65" spans="1:5">
      <c r="A65" s="3">
        <v>20</v>
      </c>
      <c r="B65" s="3">
        <v>3.044522437723423</v>
      </c>
      <c r="C65" s="3">
        <v>3.33</v>
      </c>
      <c r="D65" s="3">
        <v>83.5</v>
      </c>
      <c r="E65" s="3">
        <v>5</v>
      </c>
    </row>
    <row r="66" spans="1:5">
      <c r="A66" s="3">
        <v>60</v>
      </c>
      <c r="B66" s="3">
        <v>4.110873864173311</v>
      </c>
      <c r="C66" s="3">
        <v>6.23</v>
      </c>
      <c r="D66" s="3">
        <v>48</v>
      </c>
      <c r="E66" s="3">
        <v>6.666666667</v>
      </c>
    </row>
    <row r="67" spans="1:5">
      <c r="A67" s="3">
        <v>60</v>
      </c>
      <c r="B67" s="3">
        <v>4.110873864173311</v>
      </c>
      <c r="C67" s="3">
        <v>9.800000000000001</v>
      </c>
      <c r="D67" s="3">
        <v>52</v>
      </c>
      <c r="E67" s="3">
        <v>4.5</v>
      </c>
    </row>
    <row r="68" spans="1:5">
      <c r="A68" s="3">
        <v>40</v>
      </c>
      <c r="B68" s="3">
        <v>3.713572066704308</v>
      </c>
      <c r="C68" s="3">
        <v>7.3</v>
      </c>
      <c r="D68" s="3">
        <v>91.66666667</v>
      </c>
      <c r="E68" s="3">
        <v>5</v>
      </c>
    </row>
    <row r="69" spans="1:5">
      <c r="A69" s="3">
        <v>100</v>
      </c>
      <c r="B69" s="3">
        <v>4.61512051684126</v>
      </c>
      <c r="C69" s="3">
        <v>4.65</v>
      </c>
      <c r="D69" s="3">
        <v>74.16666667</v>
      </c>
      <c r="E69" s="3">
        <v>4</v>
      </c>
    </row>
    <row r="70" spans="1:5">
      <c r="A70" s="3">
        <v>40</v>
      </c>
      <c r="B70" s="3">
        <v>3.713572066704308</v>
      </c>
      <c r="C70" s="3">
        <v>11.4</v>
      </c>
      <c r="D70" s="3">
        <v>91.33333333</v>
      </c>
      <c r="E70" s="3">
        <v>8.333333333000001</v>
      </c>
    </row>
    <row r="71" spans="1:5">
      <c r="A71" s="3">
        <v>60</v>
      </c>
      <c r="B71" s="3">
        <v>4.110873864173311</v>
      </c>
      <c r="C71" s="3">
        <v>10.4</v>
      </c>
      <c r="D71" s="3">
        <v>90.16666667</v>
      </c>
      <c r="E71" s="3">
        <v>9</v>
      </c>
    </row>
    <row r="72" spans="1:5">
      <c r="A72" s="3">
        <v>90</v>
      </c>
      <c r="B72" s="3">
        <v>4.51085950651685</v>
      </c>
      <c r="C72" s="3">
        <v>1.78</v>
      </c>
      <c r="D72" s="3">
        <v>93.83333333</v>
      </c>
      <c r="E72" s="3">
        <v>2.166666667</v>
      </c>
    </row>
    <row r="73" spans="1:5">
      <c r="A73" s="3">
        <v>50</v>
      </c>
      <c r="B73" s="3">
        <v>3.931825632724326</v>
      </c>
      <c r="C73" s="3">
        <v>3.87</v>
      </c>
      <c r="D73" s="3">
        <v>91</v>
      </c>
      <c r="E73" s="3">
        <v>4</v>
      </c>
    </row>
    <row r="74" spans="1:5">
      <c r="A74" s="3">
        <v>70</v>
      </c>
      <c r="B74" s="3">
        <v>4.262679877041315</v>
      </c>
      <c r="C74" s="3">
        <v>9.529999999999999</v>
      </c>
      <c r="D74" s="3">
        <v>58</v>
      </c>
      <c r="E74" s="3">
        <v>2.666666667</v>
      </c>
    </row>
    <row r="75" spans="1:5">
      <c r="A75" s="3">
        <v>50</v>
      </c>
      <c r="B75" s="3">
        <v>3.931825632724326</v>
      </c>
      <c r="C75" s="3">
        <v>6.33</v>
      </c>
      <c r="D75" s="3">
        <v>88.83333333</v>
      </c>
      <c r="E75" s="3">
        <v>4.166666667</v>
      </c>
    </row>
    <row r="76" spans="1:5">
      <c r="A76" s="3">
        <v>70</v>
      </c>
      <c r="B76" s="3">
        <v>4.262679877041315</v>
      </c>
      <c r="C76" s="3">
        <v>1.45</v>
      </c>
      <c r="D76" s="3">
        <v>94.5</v>
      </c>
      <c r="E76" s="3">
        <v>2</v>
      </c>
    </row>
    <row r="77" spans="1:5">
      <c r="A77" s="3">
        <v>60</v>
      </c>
      <c r="B77" s="3">
        <v>4.110873864173311</v>
      </c>
      <c r="C77" s="3">
        <v>20.495</v>
      </c>
      <c r="D77" s="3">
        <v>38.33333332000001</v>
      </c>
      <c r="E77" s="3">
        <v>4</v>
      </c>
    </row>
    <row r="78" spans="1:5">
      <c r="A78" s="3">
        <v>390</v>
      </c>
      <c r="B78" s="3">
        <v>5.968707559985366</v>
      </c>
      <c r="C78" s="3">
        <v>9.5</v>
      </c>
      <c r="D78" s="3">
        <v>78</v>
      </c>
      <c r="E78" s="3">
        <v>4</v>
      </c>
    </row>
    <row r="79" spans="1:5">
      <c r="A79" s="3">
        <v>60</v>
      </c>
      <c r="B79" s="3">
        <v>4.110873864173311</v>
      </c>
      <c r="C79" s="3">
        <v>4.93</v>
      </c>
      <c r="D79" s="3">
        <v>80.33333333</v>
      </c>
      <c r="E79" s="3">
        <v>2.666666667</v>
      </c>
    </row>
    <row r="80" spans="1:5">
      <c r="A80" s="3">
        <v>90</v>
      </c>
      <c r="B80" s="3">
        <v>4.51085950651685</v>
      </c>
      <c r="C80" s="3">
        <v>18.1</v>
      </c>
      <c r="D80" s="3">
        <v>67.66666667</v>
      </c>
      <c r="E80" s="3">
        <v>1.666666667</v>
      </c>
    </row>
    <row r="81" spans="1:5">
      <c r="A81" s="3">
        <v>80</v>
      </c>
      <c r="B81" s="3">
        <v>4.394449154672439</v>
      </c>
      <c r="C81" s="3">
        <v>7.54</v>
      </c>
      <c r="D81" s="3">
        <v>96.83333333</v>
      </c>
      <c r="E81" s="3">
        <v>6.166666667</v>
      </c>
    </row>
    <row r="82" spans="1:5">
      <c r="A82" s="3">
        <v>40</v>
      </c>
      <c r="B82" s="3">
        <v>3.713572066704308</v>
      </c>
      <c r="C82" s="3">
        <v>-4</v>
      </c>
      <c r="D82" s="3">
        <v>86.33333333</v>
      </c>
      <c r="E82" s="3">
        <v>2.666666667</v>
      </c>
    </row>
    <row r="83" spans="1:5">
      <c r="A83" s="3">
        <v>150</v>
      </c>
      <c r="B83" s="3">
        <v>5.017279836814924</v>
      </c>
      <c r="C83" s="3">
        <v>13.6</v>
      </c>
      <c r="D83" s="3">
        <v>70</v>
      </c>
      <c r="E83" s="3">
        <v>5</v>
      </c>
    </row>
    <row r="84" spans="1:5">
      <c r="A84" s="3">
        <v>60</v>
      </c>
      <c r="B84" s="3">
        <v>4.110873864173311</v>
      </c>
      <c r="C84" s="3">
        <v>1.53</v>
      </c>
      <c r="D84" s="3">
        <v>94.33333333</v>
      </c>
      <c r="E84" s="3">
        <v>2.333333333</v>
      </c>
    </row>
    <row r="85" spans="1:5">
      <c r="A85" s="3">
        <v>40</v>
      </c>
      <c r="B85" s="3">
        <v>3.713572066704308</v>
      </c>
      <c r="C85" s="3">
        <v>1.77</v>
      </c>
      <c r="D85" s="3">
        <v>87</v>
      </c>
      <c r="E85" s="3">
        <v>2.333333333</v>
      </c>
    </row>
    <row r="86" spans="1:5">
      <c r="A86" s="3">
        <v>50</v>
      </c>
      <c r="B86" s="3">
        <v>3.931825632724326</v>
      </c>
      <c r="C86" s="3">
        <v>6.4</v>
      </c>
      <c r="D86" s="3">
        <v>80</v>
      </c>
      <c r="E86" s="3">
        <v>8</v>
      </c>
    </row>
    <row r="87" spans="1:5">
      <c r="A87" s="3">
        <v>120</v>
      </c>
      <c r="B87" s="3">
        <v>4.795790545596741</v>
      </c>
      <c r="C87" s="3">
        <v>9.27</v>
      </c>
      <c r="D87" s="3">
        <v>91.66666667</v>
      </c>
      <c r="E87" s="3">
        <v>6.333333333</v>
      </c>
    </row>
    <row r="88" spans="1:5">
      <c r="A88" s="3">
        <v>60</v>
      </c>
      <c r="B88" s="3">
        <v>4.110873864173311</v>
      </c>
      <c r="C88" s="3">
        <v>0.533</v>
      </c>
      <c r="D88" s="3">
        <v>88.66666667</v>
      </c>
      <c r="E88" s="3">
        <v>1</v>
      </c>
    </row>
    <row r="89" spans="1:5">
      <c r="A89" s="3">
        <v>170</v>
      </c>
      <c r="B89" s="3">
        <v>5.14166355650266</v>
      </c>
      <c r="C89" s="3">
        <v>10.6</v>
      </c>
      <c r="D89" s="3">
        <v>90</v>
      </c>
      <c r="E89" s="3">
        <v>8</v>
      </c>
    </row>
    <row r="90" spans="1:5">
      <c r="A90" s="3">
        <v>120</v>
      </c>
      <c r="B90" s="3">
        <v>4.795790545596741</v>
      </c>
      <c r="C90" s="3">
        <v>11.4</v>
      </c>
      <c r="D90" s="3">
        <v>50.83333333</v>
      </c>
      <c r="E90" s="3">
        <v>7.833333333</v>
      </c>
    </row>
    <row r="91" spans="1:5">
      <c r="A91" s="3">
        <v>120</v>
      </c>
      <c r="B91" s="3">
        <v>4.795790545596741</v>
      </c>
      <c r="C91" s="3">
        <v>7.3</v>
      </c>
      <c r="D91" s="3">
        <v>87.5</v>
      </c>
      <c r="E91" s="3">
        <v>3</v>
      </c>
    </row>
    <row r="92" spans="1:5">
      <c r="A92" s="3">
        <v>50</v>
      </c>
      <c r="B92" s="3">
        <v>3.931825632724326</v>
      </c>
      <c r="C92" s="3">
        <v>12.5</v>
      </c>
      <c r="D92" s="3">
        <v>57</v>
      </c>
      <c r="E92" s="3">
        <v>4</v>
      </c>
    </row>
    <row r="93" spans="1:5">
      <c r="A93" s="3">
        <v>100</v>
      </c>
      <c r="B93" s="3">
        <v>4.61512051684126</v>
      </c>
      <c r="C93" s="3">
        <v>3.3</v>
      </c>
      <c r="D93" s="3">
        <v>89</v>
      </c>
      <c r="E93" s="3">
        <v>3</v>
      </c>
    </row>
    <row r="94" spans="1:5">
      <c r="A94" s="3">
        <v>30</v>
      </c>
      <c r="B94" s="3">
        <v>3.433987204485146</v>
      </c>
      <c r="C94" s="3">
        <v>11</v>
      </c>
      <c r="D94" s="3">
        <v>77</v>
      </c>
      <c r="E94" s="3">
        <v>8</v>
      </c>
    </row>
    <row r="95" spans="1:5">
      <c r="A95" s="3">
        <v>110</v>
      </c>
      <c r="B95" s="3">
        <v>4.709530201312334</v>
      </c>
      <c r="C95" s="3">
        <v>13.4</v>
      </c>
      <c r="D95" s="3">
        <v>49</v>
      </c>
      <c r="E95" s="3">
        <v>3</v>
      </c>
    </row>
    <row r="96" spans="1:5">
      <c r="A96" s="3">
        <v>90</v>
      </c>
      <c r="B96" s="3">
        <v>4.51085950651685</v>
      </c>
      <c r="C96" s="3">
        <v>6.48</v>
      </c>
      <c r="D96" s="3">
        <v>96</v>
      </c>
      <c r="E96" s="3">
        <v>8.166666666999999</v>
      </c>
    </row>
    <row r="97" spans="1:5">
      <c r="A97" s="3">
        <v>60</v>
      </c>
      <c r="B97" s="3">
        <v>4.110873864173311</v>
      </c>
      <c r="C97" s="3">
        <v>7.65</v>
      </c>
      <c r="D97" s="3">
        <v>88.5</v>
      </c>
      <c r="E97" s="3">
        <v>8</v>
      </c>
    </row>
    <row r="98" spans="1:5">
      <c r="A98" s="3">
        <v>50</v>
      </c>
      <c r="B98" s="3">
        <v>3.931825632724326</v>
      </c>
      <c r="C98" s="3">
        <v>14.6</v>
      </c>
      <c r="D98" s="3">
        <v>53.66666667</v>
      </c>
      <c r="E98" s="3">
        <v>4.333333333</v>
      </c>
    </row>
    <row r="99" spans="1:5">
      <c r="A99" s="3">
        <v>40</v>
      </c>
      <c r="B99" s="3">
        <v>3.713572066704308</v>
      </c>
      <c r="C99" s="3">
        <v>0.7</v>
      </c>
      <c r="D99" s="3">
        <v>96.83333333</v>
      </c>
      <c r="E99" s="3">
        <v>1</v>
      </c>
    </row>
    <row r="100" spans="1:5">
      <c r="A100" s="3">
        <v>40</v>
      </c>
      <c r="B100" s="3">
        <v>3.713572066704308</v>
      </c>
      <c r="C100" s="3">
        <v>8.83</v>
      </c>
      <c r="D100" s="3">
        <v>85.5</v>
      </c>
      <c r="E100" s="3">
        <v>10.16666667</v>
      </c>
    </row>
    <row r="101" spans="1:5">
      <c r="A101" s="3">
        <v>110</v>
      </c>
      <c r="B101" s="3">
        <v>4.709530201312334</v>
      </c>
      <c r="C101" s="3">
        <v>9.18</v>
      </c>
      <c r="D101" s="3">
        <v>72</v>
      </c>
      <c r="E101" s="3">
        <v>1</v>
      </c>
    </row>
    <row r="102" spans="1:5">
      <c r="A102" s="3">
        <v>90</v>
      </c>
      <c r="B102" s="3">
        <v>4.51085950651685</v>
      </c>
      <c r="C102" s="3">
        <v>7.03</v>
      </c>
      <c r="D102" s="3">
        <v>63.66666667</v>
      </c>
      <c r="E102" s="3">
        <v>9.666666666999999</v>
      </c>
    </row>
    <row r="103" spans="1:5">
      <c r="A103" s="3">
        <v>60</v>
      </c>
      <c r="B103" s="3">
        <v>4.110873864173311</v>
      </c>
      <c r="C103" s="3">
        <v>8.630000000000001</v>
      </c>
      <c r="D103" s="3">
        <v>90.33333333</v>
      </c>
      <c r="E103" s="3">
        <v>1</v>
      </c>
    </row>
    <row r="104" spans="1:5">
      <c r="A104" s="3">
        <v>440</v>
      </c>
      <c r="B104" s="3">
        <v>6.089044875446846</v>
      </c>
      <c r="C104" s="3">
        <v>-3.33</v>
      </c>
      <c r="D104" s="3">
        <v>84</v>
      </c>
      <c r="E104" s="3">
        <v>2</v>
      </c>
    </row>
    <row r="105" spans="1:5">
      <c r="A105" s="3">
        <v>80</v>
      </c>
      <c r="B105" s="3">
        <v>4.394449154672439</v>
      </c>
      <c r="C105" s="3">
        <v>7.63</v>
      </c>
      <c r="D105" s="3">
        <v>87</v>
      </c>
      <c r="E105" s="3">
        <v>3.333333333</v>
      </c>
    </row>
    <row r="106" spans="1:5">
      <c r="A106" s="3">
        <v>60</v>
      </c>
      <c r="B106" s="3">
        <v>4.110873864173311</v>
      </c>
      <c r="C106" s="3">
        <v>6.6</v>
      </c>
      <c r="D106" s="3">
        <v>80.5</v>
      </c>
      <c r="E106" s="3">
        <v>3</v>
      </c>
    </row>
    <row r="107" spans="1:5">
      <c r="A107" s="3">
        <v>100</v>
      </c>
      <c r="B107" s="3">
        <v>4.61512051684126</v>
      </c>
      <c r="C107" s="3">
        <v>3.28</v>
      </c>
      <c r="D107" s="3">
        <v>89.33333333</v>
      </c>
      <c r="E107" s="3">
        <v>3.166666667</v>
      </c>
    </row>
    <row r="108" spans="1:5">
      <c r="A108" s="3">
        <v>60</v>
      </c>
      <c r="B108" s="3">
        <v>4.110873864173311</v>
      </c>
      <c r="C108" s="3">
        <v>5.23</v>
      </c>
      <c r="D108" s="3">
        <v>81.33333333</v>
      </c>
      <c r="E108" s="3">
        <v>3</v>
      </c>
    </row>
    <row r="109" spans="1:5">
      <c r="A109" s="3">
        <v>60</v>
      </c>
      <c r="B109" s="3">
        <v>4.110873864173311</v>
      </c>
      <c r="C109" s="3">
        <v>7</v>
      </c>
      <c r="D109" s="3">
        <v>97</v>
      </c>
      <c r="E109" s="3">
        <v>2</v>
      </c>
    </row>
    <row r="110" spans="1:5">
      <c r="A110" s="3">
        <v>130</v>
      </c>
      <c r="B110" s="3">
        <v>4.875197323201151</v>
      </c>
      <c r="C110" s="3">
        <v>5.35</v>
      </c>
      <c r="D110" s="3">
        <v>71</v>
      </c>
      <c r="E110" s="3">
        <v>3</v>
      </c>
    </row>
    <row r="111" spans="1:5">
      <c r="A111" s="3">
        <v>60</v>
      </c>
      <c r="B111" s="3">
        <v>4.110873864173311</v>
      </c>
      <c r="C111" s="3">
        <v>3.85</v>
      </c>
      <c r="D111" s="3">
        <v>96</v>
      </c>
      <c r="E111" s="3">
        <v>1.5</v>
      </c>
    </row>
    <row r="112" spans="1:5">
      <c r="A112" s="3">
        <v>60</v>
      </c>
      <c r="B112" s="3">
        <v>4.110873864173311</v>
      </c>
      <c r="C112" s="3">
        <v>16.1</v>
      </c>
      <c r="D112" s="3">
        <v>85</v>
      </c>
      <c r="E112" s="3">
        <v>2</v>
      </c>
    </row>
    <row r="113" spans="1:5">
      <c r="A113" s="3">
        <v>70</v>
      </c>
      <c r="B113" s="3">
        <v>4.262679877041315</v>
      </c>
      <c r="C113" s="3">
        <v>10.4</v>
      </c>
      <c r="D113" s="3">
        <v>79.16666667</v>
      </c>
      <c r="E113" s="3">
        <v>2</v>
      </c>
    </row>
    <row r="114" spans="1:5">
      <c r="A114" s="3">
        <v>90</v>
      </c>
      <c r="B114" s="3">
        <v>4.51085950651685</v>
      </c>
      <c r="C114" s="3">
        <v>11.1</v>
      </c>
      <c r="D114" s="3">
        <v>71</v>
      </c>
      <c r="E114" s="3">
        <v>5</v>
      </c>
    </row>
    <row r="115" spans="1:5">
      <c r="A115" s="3">
        <v>90</v>
      </c>
      <c r="B115" s="3">
        <v>4.51085950651685</v>
      </c>
      <c r="C115" s="3">
        <v>8.25</v>
      </c>
      <c r="D115" s="3">
        <v>77.16666667</v>
      </c>
      <c r="E115" s="3">
        <v>6.166666667</v>
      </c>
    </row>
    <row r="116" spans="1:5">
      <c r="A116" s="3">
        <v>50</v>
      </c>
      <c r="B116" s="3">
        <v>3.931825632724326</v>
      </c>
      <c r="C116" s="3">
        <v>5.25</v>
      </c>
      <c r="D116" s="3">
        <v>95</v>
      </c>
      <c r="E116" s="3">
        <v>2</v>
      </c>
    </row>
    <row r="117" spans="1:5">
      <c r="A117" s="3">
        <v>110</v>
      </c>
      <c r="B117" s="3">
        <v>4.709530201312334</v>
      </c>
      <c r="C117" s="3">
        <v>20.495</v>
      </c>
      <c r="D117" s="3">
        <v>38.33333332000001</v>
      </c>
      <c r="E117" s="3">
        <v>4</v>
      </c>
    </row>
    <row r="118" spans="1:5">
      <c r="A118" s="3">
        <v>50</v>
      </c>
      <c r="B118" s="3">
        <v>3.931825632724326</v>
      </c>
      <c r="C118" s="3">
        <v>10.7</v>
      </c>
      <c r="D118" s="3">
        <v>67</v>
      </c>
      <c r="E118" s="3">
        <v>4</v>
      </c>
    </row>
    <row r="119" spans="1:5">
      <c r="A119" s="3">
        <v>280</v>
      </c>
      <c r="B119" s="3">
        <v>5.638354669333745</v>
      </c>
      <c r="C119" s="3">
        <v>10.7</v>
      </c>
      <c r="D119" s="3">
        <v>64</v>
      </c>
      <c r="E119" s="3">
        <v>10.75</v>
      </c>
    </row>
    <row r="120" spans="1:5">
      <c r="A120" s="3">
        <v>40</v>
      </c>
      <c r="B120" s="3">
        <v>3.713572066704308</v>
      </c>
      <c r="C120" s="3">
        <v>-2.42</v>
      </c>
      <c r="D120" s="3">
        <v>81.16666667</v>
      </c>
      <c r="E120" s="3">
        <v>2.666666667</v>
      </c>
    </row>
    <row r="121" spans="1:5">
      <c r="A121" s="3">
        <v>300</v>
      </c>
      <c r="B121" s="3">
        <v>5.707110264748875</v>
      </c>
      <c r="C121" s="3">
        <v>5.23</v>
      </c>
      <c r="D121" s="3">
        <v>80</v>
      </c>
      <c r="E121" s="3">
        <v>6</v>
      </c>
    </row>
    <row r="122" spans="1:5">
      <c r="A122" s="3">
        <v>40</v>
      </c>
      <c r="B122" s="3">
        <v>3.713572066704308</v>
      </c>
      <c r="C122" s="3">
        <v>10.6</v>
      </c>
      <c r="D122" s="3">
        <v>75</v>
      </c>
      <c r="E122" s="3">
        <v>9.333333333000001</v>
      </c>
    </row>
    <row r="123" spans="1:5">
      <c r="A123" s="3">
        <v>50</v>
      </c>
      <c r="B123" s="3">
        <v>3.931825632724326</v>
      </c>
      <c r="C123" s="3">
        <v>7.25</v>
      </c>
      <c r="D123" s="3">
        <v>74.5</v>
      </c>
      <c r="E123" s="3">
        <v>3.5</v>
      </c>
    </row>
    <row r="124" spans="1:5">
      <c r="A124" s="3">
        <v>80</v>
      </c>
      <c r="B124" s="3">
        <v>4.394449154672439</v>
      </c>
      <c r="C124" s="3">
        <v>7.3</v>
      </c>
      <c r="D124" s="3">
        <v>79</v>
      </c>
      <c r="E124" s="3">
        <v>10.75</v>
      </c>
    </row>
    <row r="125" spans="1:5">
      <c r="A125" s="3">
        <v>40</v>
      </c>
      <c r="B125" s="3">
        <v>3.713572066704308</v>
      </c>
      <c r="C125" s="3">
        <v>-4</v>
      </c>
      <c r="D125" s="3">
        <v>84</v>
      </c>
      <c r="E125" s="3">
        <v>3</v>
      </c>
    </row>
    <row r="126" spans="1:5">
      <c r="A126" s="3">
        <v>40</v>
      </c>
      <c r="B126" s="3">
        <v>3.713572066704308</v>
      </c>
      <c r="C126" s="3">
        <v>4.42</v>
      </c>
      <c r="D126" s="3">
        <v>87.16666667</v>
      </c>
      <c r="E126" s="3">
        <v>5</v>
      </c>
    </row>
    <row r="127" spans="1:5">
      <c r="A127" s="3">
        <v>100</v>
      </c>
      <c r="B127" s="3">
        <v>4.61512051684126</v>
      </c>
      <c r="C127" s="3">
        <v>2.5</v>
      </c>
      <c r="D127" s="3">
        <v>92</v>
      </c>
      <c r="E127" s="3">
        <v>1</v>
      </c>
    </row>
    <row r="128" spans="1:5">
      <c r="A128" s="3">
        <v>70</v>
      </c>
      <c r="B128" s="3">
        <v>4.262679877041315</v>
      </c>
      <c r="C128" s="3">
        <v>10.7</v>
      </c>
      <c r="D128" s="3">
        <v>64.33333333</v>
      </c>
      <c r="E128" s="3">
        <v>4</v>
      </c>
    </row>
    <row r="129" spans="1:5">
      <c r="A129" s="3">
        <v>70</v>
      </c>
      <c r="B129" s="3">
        <v>4.262679877041315</v>
      </c>
      <c r="C129" s="3">
        <v>10.9</v>
      </c>
      <c r="D129" s="3">
        <v>80</v>
      </c>
      <c r="E129" s="3">
        <v>7</v>
      </c>
    </row>
    <row r="130" spans="1:5">
      <c r="A130" s="3">
        <v>50</v>
      </c>
      <c r="B130" s="3">
        <v>3.931825632724326</v>
      </c>
      <c r="C130" s="3">
        <v>2.95</v>
      </c>
      <c r="D130" s="3">
        <v>77.16666667</v>
      </c>
      <c r="E130" s="3">
        <v>10</v>
      </c>
    </row>
    <row r="131" spans="1:5">
      <c r="A131" s="3">
        <v>80</v>
      </c>
      <c r="B131" s="3">
        <v>4.394449154672439</v>
      </c>
      <c r="C131" s="3">
        <v>1.1</v>
      </c>
      <c r="D131" s="3">
        <v>98</v>
      </c>
      <c r="E131" s="3">
        <v>1</v>
      </c>
    </row>
    <row r="132" spans="1:5">
      <c r="A132" s="3">
        <v>50</v>
      </c>
      <c r="B132" s="3">
        <v>3.931825632724326</v>
      </c>
      <c r="C132" s="3">
        <v>3.33</v>
      </c>
      <c r="D132" s="3">
        <v>83.33333333</v>
      </c>
      <c r="E132" s="3">
        <v>5</v>
      </c>
    </row>
    <row r="133" spans="1:5">
      <c r="A133" s="3">
        <v>40</v>
      </c>
      <c r="B133" s="3">
        <v>3.713572066704308</v>
      </c>
      <c r="C133" s="3">
        <v>10.5</v>
      </c>
      <c r="D133" s="3">
        <v>83.33333333</v>
      </c>
      <c r="E133" s="3">
        <v>9</v>
      </c>
    </row>
    <row r="134" spans="1:5">
      <c r="A134" s="3">
        <v>80</v>
      </c>
      <c r="B134" s="3">
        <v>4.394449154672439</v>
      </c>
      <c r="C134" s="3">
        <v>0.5</v>
      </c>
      <c r="D134" s="3">
        <v>90</v>
      </c>
      <c r="E134" s="3">
        <v>1.5</v>
      </c>
    </row>
    <row r="135" spans="1:5">
      <c r="A135" s="3">
        <v>50</v>
      </c>
      <c r="B135" s="3">
        <v>3.931825632724326</v>
      </c>
      <c r="C135" s="3">
        <v>-0.533</v>
      </c>
      <c r="D135" s="3">
        <v>99.66666667</v>
      </c>
      <c r="E135" s="3">
        <v>1.333333333</v>
      </c>
    </row>
    <row r="136" spans="1:5">
      <c r="A136" s="3">
        <v>70</v>
      </c>
      <c r="B136" s="3">
        <v>4.262679877041315</v>
      </c>
      <c r="C136" s="3">
        <v>7.97</v>
      </c>
      <c r="D136" s="3">
        <v>66</v>
      </c>
      <c r="E136" s="3">
        <v>9.333333333000001</v>
      </c>
    </row>
    <row r="137" spans="1:5">
      <c r="A137" s="3">
        <v>120</v>
      </c>
      <c r="B137" s="3">
        <v>4.795790545596741</v>
      </c>
      <c r="C137" s="3">
        <v>10.3</v>
      </c>
      <c r="D137" s="3">
        <v>65.66666667</v>
      </c>
      <c r="E137" s="3">
        <v>1</v>
      </c>
    </row>
    <row r="138" spans="1:5">
      <c r="A138" s="3">
        <v>70</v>
      </c>
      <c r="B138" s="3">
        <v>4.262679877041315</v>
      </c>
      <c r="C138" s="3">
        <v>5.5</v>
      </c>
      <c r="D138" s="3">
        <v>92</v>
      </c>
      <c r="E138" s="3">
        <v>3</v>
      </c>
    </row>
    <row r="139" spans="1:5">
      <c r="A139" s="3">
        <v>40</v>
      </c>
      <c r="B139" s="3">
        <v>3.713572066704308</v>
      </c>
      <c r="C139" s="3">
        <v>4.55</v>
      </c>
      <c r="D139" s="3">
        <v>81</v>
      </c>
      <c r="E139" s="3">
        <v>3.5</v>
      </c>
    </row>
    <row r="140" spans="1:5">
      <c r="A140" s="3">
        <v>90</v>
      </c>
      <c r="B140" s="3">
        <v>4.51085950651685</v>
      </c>
      <c r="C140" s="3">
        <v>11.7</v>
      </c>
      <c r="D140" s="3">
        <v>93.33333333</v>
      </c>
      <c r="E140" s="3">
        <v>8</v>
      </c>
    </row>
    <row r="141" spans="1:5">
      <c r="A141" s="3">
        <v>390</v>
      </c>
      <c r="B141" s="3">
        <v>5.968707559985366</v>
      </c>
      <c r="C141" s="3">
        <v>6.1</v>
      </c>
      <c r="D141" s="3">
        <v>45.66666667</v>
      </c>
      <c r="E141" s="3">
        <v>5.333333333</v>
      </c>
    </row>
    <row r="142" spans="1:5">
      <c r="A142" s="3">
        <v>60</v>
      </c>
      <c r="B142" s="3">
        <v>4.110873864173311</v>
      </c>
      <c r="C142" s="3">
        <v>8.85</v>
      </c>
      <c r="D142" s="3">
        <v>92</v>
      </c>
      <c r="E142" s="3">
        <v>1</v>
      </c>
    </row>
    <row r="143" spans="1:5">
      <c r="A143" s="3">
        <v>100</v>
      </c>
      <c r="B143" s="3">
        <v>4.61512051684126</v>
      </c>
      <c r="C143" s="3">
        <v>5</v>
      </c>
      <c r="D143" s="3">
        <v>68</v>
      </c>
      <c r="E143" s="3">
        <v>4</v>
      </c>
    </row>
    <row r="144" spans="1:5">
      <c r="A144" s="3">
        <v>130</v>
      </c>
      <c r="B144" s="3">
        <v>4.875197323201151</v>
      </c>
      <c r="C144" s="3">
        <v>6.17</v>
      </c>
      <c r="D144" s="3">
        <v>83.66666667</v>
      </c>
      <c r="E144" s="3">
        <v>1.666666667</v>
      </c>
    </row>
    <row r="145" spans="1:5">
      <c r="A145" s="3">
        <v>50</v>
      </c>
      <c r="B145" s="3">
        <v>3.931825632724326</v>
      </c>
      <c r="C145" s="3">
        <v>13.8</v>
      </c>
      <c r="D145" s="3">
        <v>73.33333333</v>
      </c>
      <c r="E145" s="3">
        <v>7</v>
      </c>
    </row>
    <row r="146" spans="1:5">
      <c r="A146" s="3">
        <v>70</v>
      </c>
      <c r="B146" s="3">
        <v>4.262679877041315</v>
      </c>
      <c r="C146" s="3">
        <v>20.495</v>
      </c>
      <c r="D146" s="3">
        <v>48.66666667</v>
      </c>
      <c r="E146" s="3">
        <v>1.666666667</v>
      </c>
    </row>
    <row r="147" spans="1:5">
      <c r="A147" s="3">
        <v>70</v>
      </c>
      <c r="B147" s="3">
        <v>4.262679877041315</v>
      </c>
      <c r="C147" s="3">
        <v>9.73</v>
      </c>
      <c r="D147" s="3">
        <v>69.66666667</v>
      </c>
      <c r="E147" s="3">
        <v>2</v>
      </c>
    </row>
    <row r="148" spans="1:5">
      <c r="A148" s="3">
        <v>40</v>
      </c>
      <c r="B148" s="3">
        <v>3.713572066704308</v>
      </c>
      <c r="C148" s="3">
        <v>7.6</v>
      </c>
      <c r="D148" s="3">
        <v>85.33333333</v>
      </c>
      <c r="E148" s="3">
        <v>2</v>
      </c>
    </row>
    <row r="149" spans="1:5">
      <c r="A149" s="3">
        <v>80</v>
      </c>
      <c r="B149" s="3">
        <v>4.394449154672439</v>
      </c>
      <c r="C149" s="3">
        <v>2.87</v>
      </c>
      <c r="D149" s="3">
        <v>85.66666667</v>
      </c>
      <c r="E149" s="3">
        <v>3</v>
      </c>
    </row>
    <row r="150" spans="1:5">
      <c r="A150" s="3">
        <v>110</v>
      </c>
      <c r="B150" s="3">
        <v>4.709530201312334</v>
      </c>
      <c r="C150" s="3">
        <v>5.5</v>
      </c>
      <c r="D150" s="3">
        <v>96.5</v>
      </c>
      <c r="E150" s="3">
        <v>2.5</v>
      </c>
    </row>
    <row r="151" spans="1:5">
      <c r="A151" s="3">
        <v>80</v>
      </c>
      <c r="B151" s="3">
        <v>4.394449154672439</v>
      </c>
      <c r="C151" s="3">
        <v>17.3</v>
      </c>
      <c r="D151" s="3">
        <v>64.66666667</v>
      </c>
      <c r="E151" s="3">
        <v>2</v>
      </c>
    </row>
    <row r="152" spans="1:5">
      <c r="A152" s="3">
        <v>90</v>
      </c>
      <c r="B152" s="3">
        <v>4.51085950651685</v>
      </c>
      <c r="C152" s="3">
        <v>13.1</v>
      </c>
      <c r="D152" s="3">
        <v>73</v>
      </c>
      <c r="E152" s="3">
        <v>7.333333333</v>
      </c>
    </row>
    <row r="153" spans="1:5">
      <c r="A153" s="3">
        <v>250</v>
      </c>
      <c r="B153" s="3">
        <v>5.525452939131783</v>
      </c>
      <c r="C153" s="3">
        <v>2.95</v>
      </c>
      <c r="D153" s="3">
        <v>88.83333333</v>
      </c>
      <c r="E153" s="3">
        <v>5</v>
      </c>
    </row>
    <row r="154" spans="1:5">
      <c r="A154" s="3">
        <v>100</v>
      </c>
      <c r="B154" s="3">
        <v>4.61512051684126</v>
      </c>
      <c r="C154" s="3">
        <v>7.6</v>
      </c>
      <c r="D154" s="3">
        <v>75</v>
      </c>
      <c r="E154" s="3">
        <v>8.666666666999999</v>
      </c>
    </row>
    <row r="155" spans="1:5">
      <c r="A155" s="3">
        <v>70</v>
      </c>
      <c r="B155" s="3">
        <v>4.262679877041315</v>
      </c>
      <c r="C155" s="3">
        <v>0.267</v>
      </c>
      <c r="D155" s="3">
        <v>87.5</v>
      </c>
      <c r="E155" s="3">
        <v>2</v>
      </c>
    </row>
    <row r="156" spans="1:5">
      <c r="A156" s="3">
        <v>70</v>
      </c>
      <c r="B156" s="3">
        <v>4.262679877041315</v>
      </c>
      <c r="C156" s="3">
        <v>2.53</v>
      </c>
      <c r="D156" s="3">
        <v>88.33333333</v>
      </c>
      <c r="E156" s="3">
        <v>3</v>
      </c>
    </row>
    <row r="157" spans="1:5">
      <c r="A157" s="3">
        <v>120</v>
      </c>
      <c r="B157" s="3">
        <v>4.795790545596741</v>
      </c>
      <c r="C157" s="3">
        <v>14.7</v>
      </c>
      <c r="D157" s="3">
        <v>67.33333333</v>
      </c>
      <c r="E157" s="3">
        <v>3.833333333</v>
      </c>
    </row>
    <row r="158" spans="1:5">
      <c r="A158" s="3">
        <v>40</v>
      </c>
      <c r="B158" s="3">
        <v>3.713572066704308</v>
      </c>
      <c r="C158" s="3">
        <v>-2</v>
      </c>
      <c r="D158" s="3">
        <v>94</v>
      </c>
      <c r="E158" s="3">
        <v>2</v>
      </c>
    </row>
    <row r="159" spans="1:5">
      <c r="A159" s="3">
        <v>60</v>
      </c>
      <c r="B159" s="3">
        <v>4.110873864173311</v>
      </c>
      <c r="C159" s="3">
        <v>3.03</v>
      </c>
      <c r="D159" s="3">
        <v>83.33333333</v>
      </c>
      <c r="E159" s="3">
        <v>3.666666667</v>
      </c>
    </row>
    <row r="160" spans="1:5">
      <c r="A160" s="3">
        <v>110</v>
      </c>
      <c r="B160" s="3">
        <v>4.709530201312334</v>
      </c>
      <c r="C160" s="3">
        <v>18.8</v>
      </c>
      <c r="D160" s="3">
        <v>77.66666667</v>
      </c>
      <c r="E160" s="3">
        <v>3.333333333</v>
      </c>
    </row>
    <row r="161" spans="1:5">
      <c r="A161" s="3">
        <v>110</v>
      </c>
      <c r="B161" s="3">
        <v>4.709530201312334</v>
      </c>
      <c r="C161" s="3">
        <v>11.3</v>
      </c>
      <c r="D161" s="3">
        <v>76.83333333</v>
      </c>
      <c r="E161" s="3">
        <v>1</v>
      </c>
    </row>
    <row r="162" spans="1:5">
      <c r="A162" s="3">
        <v>50</v>
      </c>
      <c r="B162" s="3">
        <v>3.931825632724326</v>
      </c>
      <c r="C162" s="3">
        <v>5.55</v>
      </c>
      <c r="D162" s="3">
        <v>93.5</v>
      </c>
      <c r="E162" s="3">
        <v>9.833333333000001</v>
      </c>
    </row>
    <row r="163" spans="1:5">
      <c r="A163" s="3">
        <v>80</v>
      </c>
      <c r="B163" s="3">
        <v>4.394449154672439</v>
      </c>
      <c r="C163" s="3">
        <v>11.1</v>
      </c>
      <c r="D163" s="3">
        <v>74.33333333</v>
      </c>
      <c r="E163" s="3">
        <v>8.666666666999999</v>
      </c>
    </row>
    <row r="164" spans="1:5">
      <c r="A164" s="3">
        <v>50</v>
      </c>
      <c r="B164" s="3">
        <v>3.931825632724326</v>
      </c>
      <c r="C164" s="3">
        <v>9.27</v>
      </c>
      <c r="D164" s="3">
        <v>90.66666667</v>
      </c>
      <c r="E164" s="3">
        <v>1.666666667</v>
      </c>
    </row>
    <row r="165" spans="1:5">
      <c r="A165" s="3">
        <v>40</v>
      </c>
      <c r="B165" s="3">
        <v>3.713572066704308</v>
      </c>
      <c r="C165" s="3">
        <v>12</v>
      </c>
      <c r="D165" s="3">
        <v>58</v>
      </c>
      <c r="E165" s="3">
        <v>10</v>
      </c>
    </row>
    <row r="166" spans="1:5">
      <c r="A166" s="3">
        <v>90</v>
      </c>
      <c r="B166" s="3">
        <v>4.51085950651685</v>
      </c>
      <c r="C166" s="3">
        <v>9.1</v>
      </c>
      <c r="D166" s="3">
        <v>61.66666667</v>
      </c>
      <c r="E166" s="3">
        <v>2.333333333</v>
      </c>
    </row>
    <row r="167" spans="1:5">
      <c r="A167" s="3">
        <v>40</v>
      </c>
      <c r="B167" s="3">
        <v>3.713572066704308</v>
      </c>
      <c r="C167" s="3">
        <v>7.87</v>
      </c>
      <c r="D167" s="3">
        <v>73.66666667</v>
      </c>
      <c r="E167" s="3">
        <v>8.666666666999999</v>
      </c>
    </row>
    <row r="168" spans="1:5">
      <c r="A168" s="3">
        <v>100</v>
      </c>
      <c r="B168" s="3">
        <v>4.61512051684126</v>
      </c>
      <c r="C168" s="3">
        <v>7.75</v>
      </c>
      <c r="D168" s="3">
        <v>79.66666667</v>
      </c>
      <c r="E168" s="3">
        <v>4</v>
      </c>
    </row>
    <row r="169" spans="1:5">
      <c r="A169" s="3">
        <v>100</v>
      </c>
      <c r="B169" s="3">
        <v>4.61512051684126</v>
      </c>
      <c r="C169" s="3">
        <v>3.75</v>
      </c>
      <c r="D169" s="3">
        <v>78.83333333</v>
      </c>
      <c r="E169" s="3">
        <v>2.833333333</v>
      </c>
    </row>
    <row r="170" spans="1:5">
      <c r="A170" s="3">
        <v>80</v>
      </c>
      <c r="B170" s="3">
        <v>4.394449154672439</v>
      </c>
      <c r="C170" s="3">
        <v>6.33</v>
      </c>
      <c r="D170" s="3">
        <v>58.83333333</v>
      </c>
      <c r="E170" s="3">
        <v>2</v>
      </c>
    </row>
    <row r="171" spans="1:5">
      <c r="A171" s="3">
        <v>330</v>
      </c>
      <c r="B171" s="3">
        <v>5.802118375377063</v>
      </c>
      <c r="C171" s="3">
        <v>14.4</v>
      </c>
      <c r="D171" s="3">
        <v>86.83333333</v>
      </c>
      <c r="E171" s="3">
        <v>2.166666667</v>
      </c>
    </row>
    <row r="172" spans="1:5">
      <c r="A172" s="3">
        <v>50</v>
      </c>
      <c r="B172" s="3">
        <v>3.931825632724326</v>
      </c>
      <c r="C172" s="3">
        <v>5.3</v>
      </c>
      <c r="D172" s="3">
        <v>81</v>
      </c>
      <c r="E172" s="3">
        <v>1</v>
      </c>
    </row>
    <row r="173" spans="1:5">
      <c r="A173" s="3">
        <v>40</v>
      </c>
      <c r="B173" s="3">
        <v>3.713572066704308</v>
      </c>
      <c r="C173" s="3">
        <v>4.13</v>
      </c>
      <c r="D173" s="3">
        <v>86</v>
      </c>
      <c r="E173" s="3">
        <v>2</v>
      </c>
    </row>
    <row r="174" spans="1:5">
      <c r="A174" s="3">
        <v>50</v>
      </c>
      <c r="B174" s="3">
        <v>3.931825632724326</v>
      </c>
      <c r="C174" s="3">
        <v>-0.7</v>
      </c>
      <c r="D174" s="3">
        <v>93.66666667</v>
      </c>
      <c r="E174" s="3">
        <v>1</v>
      </c>
    </row>
    <row r="175" spans="1:5">
      <c r="A175" s="3">
        <v>40</v>
      </c>
      <c r="B175" s="3">
        <v>3.713572066704308</v>
      </c>
      <c r="C175" s="3">
        <v>2.6</v>
      </c>
      <c r="D175" s="3">
        <v>91.66666667</v>
      </c>
      <c r="E175" s="3">
        <v>3</v>
      </c>
    </row>
    <row r="176" spans="1:5">
      <c r="A176" s="3">
        <v>60</v>
      </c>
      <c r="B176" s="3">
        <v>4.110873864173311</v>
      </c>
      <c r="C176" s="3">
        <v>11.8</v>
      </c>
      <c r="D176" s="3">
        <v>74.5</v>
      </c>
      <c r="E176" s="3">
        <v>3</v>
      </c>
    </row>
    <row r="177" spans="1:5">
      <c r="A177" s="3">
        <v>50</v>
      </c>
      <c r="B177" s="3">
        <v>3.931825632724326</v>
      </c>
      <c r="C177" s="3">
        <v>2.7</v>
      </c>
      <c r="D177" s="3">
        <v>92.33333333</v>
      </c>
      <c r="E177" s="3">
        <v>2.333333333</v>
      </c>
    </row>
    <row r="178" spans="1:5">
      <c r="A178" s="3">
        <v>50</v>
      </c>
      <c r="B178" s="3">
        <v>3.931825632724326</v>
      </c>
      <c r="C178" s="3">
        <v>10.9</v>
      </c>
      <c r="D178" s="3">
        <v>91</v>
      </c>
      <c r="E178" s="3">
        <v>2.166666667</v>
      </c>
    </row>
    <row r="179" spans="1:5">
      <c r="A179" s="3">
        <v>130</v>
      </c>
      <c r="B179" s="3">
        <v>4.875197323201151</v>
      </c>
      <c r="C179" s="3">
        <v>3.5</v>
      </c>
      <c r="D179" s="3">
        <v>74.5</v>
      </c>
      <c r="E179" s="3">
        <v>6.5</v>
      </c>
    </row>
    <row r="180" spans="1:5">
      <c r="A180" s="3">
        <v>40</v>
      </c>
      <c r="B180" s="3">
        <v>3.713572066704308</v>
      </c>
      <c r="C180" s="3">
        <v>5.13</v>
      </c>
      <c r="D180" s="3">
        <v>90</v>
      </c>
      <c r="E180" s="3">
        <v>7.666666667</v>
      </c>
    </row>
    <row r="181" spans="1:5">
      <c r="A181" s="3">
        <v>40</v>
      </c>
      <c r="B181" s="3">
        <v>3.713572066704308</v>
      </c>
      <c r="C181" s="3">
        <v>8.4</v>
      </c>
      <c r="D181" s="3">
        <v>85</v>
      </c>
      <c r="E181" s="3">
        <v>8</v>
      </c>
    </row>
    <row r="182" spans="1:5">
      <c r="A182" s="3">
        <v>390</v>
      </c>
      <c r="B182" s="3">
        <v>5.968707559985366</v>
      </c>
      <c r="C182" s="3">
        <v>4.93</v>
      </c>
      <c r="D182" s="3">
        <v>92</v>
      </c>
      <c r="E182" s="3">
        <v>3.333333333</v>
      </c>
    </row>
    <row r="183" spans="1:5">
      <c r="A183" s="3">
        <v>120</v>
      </c>
      <c r="B183" s="3">
        <v>4.795790545596741</v>
      </c>
      <c r="C183" s="3">
        <v>8.220000000000001</v>
      </c>
      <c r="D183" s="3">
        <v>74.83333333</v>
      </c>
      <c r="E183" s="3">
        <v>4.833333333</v>
      </c>
    </row>
    <row r="184" spans="1:5">
      <c r="A184" s="3">
        <v>50</v>
      </c>
      <c r="B184" s="3">
        <v>3.931825632724326</v>
      </c>
      <c r="C184" s="3">
        <v>1.65</v>
      </c>
      <c r="D184" s="3">
        <v>90</v>
      </c>
      <c r="E184" s="3">
        <v>2</v>
      </c>
    </row>
    <row r="185" spans="1:5">
      <c r="A185" s="3">
        <v>50</v>
      </c>
      <c r="B185" s="3">
        <v>3.931825632724326</v>
      </c>
      <c r="C185" s="3">
        <v>2.5</v>
      </c>
      <c r="D185" s="3">
        <v>95</v>
      </c>
      <c r="E185" s="3">
        <v>4</v>
      </c>
    </row>
    <row r="186" spans="1:5">
      <c r="A186" s="3">
        <v>50</v>
      </c>
      <c r="B186" s="3">
        <v>3.931825632724326</v>
      </c>
      <c r="C186" s="3">
        <v>15.5</v>
      </c>
      <c r="D186" s="3">
        <v>86.5</v>
      </c>
      <c r="E186" s="3">
        <v>2.833333333</v>
      </c>
    </row>
    <row r="187" spans="1:5">
      <c r="A187" s="3">
        <v>110</v>
      </c>
      <c r="B187" s="3">
        <v>4.709530201312334</v>
      </c>
      <c r="C187" s="3">
        <v>7.8</v>
      </c>
      <c r="D187" s="3">
        <v>72</v>
      </c>
      <c r="E187" s="3">
        <v>1.5</v>
      </c>
    </row>
    <row r="188" spans="1:5">
      <c r="A188" s="3">
        <v>50</v>
      </c>
      <c r="B188" s="3">
        <v>3.931825632724326</v>
      </c>
      <c r="C188" s="3">
        <v>2.5</v>
      </c>
      <c r="D188" s="3">
        <v>92.33333333</v>
      </c>
      <c r="E188" s="3">
        <v>4.666666667</v>
      </c>
    </row>
    <row r="189" spans="1:5">
      <c r="A189" s="3">
        <v>50</v>
      </c>
      <c r="B189" s="3">
        <v>3.931825632724326</v>
      </c>
      <c r="C189" s="3">
        <v>6.42</v>
      </c>
      <c r="D189" s="3">
        <v>85.83333333</v>
      </c>
      <c r="E189" s="3">
        <v>3</v>
      </c>
    </row>
    <row r="190" spans="1:5">
      <c r="A190" s="3">
        <v>90</v>
      </c>
      <c r="B190" s="3">
        <v>4.51085950651685</v>
      </c>
      <c r="C190" s="3">
        <v>6.6</v>
      </c>
      <c r="D190" s="3">
        <v>92</v>
      </c>
      <c r="E190" s="3">
        <v>2.666666667</v>
      </c>
    </row>
    <row r="191" spans="1:5">
      <c r="A191" s="3">
        <v>40</v>
      </c>
      <c r="B191" s="3">
        <v>3.713572066704308</v>
      </c>
      <c r="C191" s="3">
        <v>2.2</v>
      </c>
      <c r="D191" s="3">
        <v>77.33333333</v>
      </c>
      <c r="E191" s="3">
        <v>3.833333333</v>
      </c>
    </row>
    <row r="192" spans="1:5">
      <c r="A192" s="3">
        <v>210</v>
      </c>
      <c r="B192" s="3">
        <v>5.351858133476067</v>
      </c>
      <c r="C192" s="3">
        <v>8.6</v>
      </c>
      <c r="D192" s="3">
        <v>63.66666667</v>
      </c>
      <c r="E192" s="3">
        <v>3</v>
      </c>
    </row>
    <row r="193" spans="1:5">
      <c r="A193" s="3">
        <v>50</v>
      </c>
      <c r="B193" s="3">
        <v>3.931825632724326</v>
      </c>
      <c r="C193" s="3">
        <v>6.75</v>
      </c>
      <c r="D193" s="3">
        <v>80.5</v>
      </c>
      <c r="E193" s="3">
        <v>5</v>
      </c>
    </row>
    <row r="194" spans="1:5">
      <c r="A194" s="3">
        <v>300</v>
      </c>
      <c r="B194" s="3">
        <v>5.707110264748875</v>
      </c>
      <c r="C194" s="3">
        <v>8</v>
      </c>
      <c r="D194" s="3">
        <v>94.16666667</v>
      </c>
      <c r="E194" s="3">
        <v>5.5</v>
      </c>
    </row>
    <row r="195" spans="1:5">
      <c r="A195" s="3">
        <v>40</v>
      </c>
      <c r="B195" s="3">
        <v>3.713572066704308</v>
      </c>
      <c r="C195" s="3">
        <v>-1.8</v>
      </c>
      <c r="D195" s="3">
        <v>94</v>
      </c>
      <c r="E195" s="3">
        <v>1</v>
      </c>
    </row>
    <row r="196" spans="1:5">
      <c r="A196" s="3">
        <v>80</v>
      </c>
      <c r="B196" s="3">
        <v>4.394449154672439</v>
      </c>
      <c r="C196" s="3">
        <v>7.87</v>
      </c>
      <c r="D196" s="3">
        <v>97</v>
      </c>
      <c r="E196" s="3">
        <v>4.333333333</v>
      </c>
    </row>
    <row r="197" spans="1:5">
      <c r="A197" s="3">
        <v>120</v>
      </c>
      <c r="B197" s="3">
        <v>4.795790545596741</v>
      </c>
      <c r="C197" s="3">
        <v>9.699999999999999</v>
      </c>
      <c r="D197" s="3">
        <v>71</v>
      </c>
      <c r="E197" s="3">
        <v>7</v>
      </c>
    </row>
    <row r="198" spans="1:5">
      <c r="A198" s="3">
        <v>110</v>
      </c>
      <c r="B198" s="3">
        <v>4.709530201312334</v>
      </c>
      <c r="C198" s="3">
        <v>11.2</v>
      </c>
      <c r="D198" s="3">
        <v>58.33333333</v>
      </c>
      <c r="E198" s="3">
        <v>4</v>
      </c>
    </row>
    <row r="199" spans="1:5">
      <c r="A199" s="3">
        <v>100</v>
      </c>
      <c r="B199" s="3">
        <v>4.61512051684126</v>
      </c>
      <c r="C199" s="3">
        <v>3.43</v>
      </c>
      <c r="D199" s="3">
        <v>83.66666667</v>
      </c>
      <c r="E199" s="3">
        <v>3</v>
      </c>
    </row>
    <row r="200" spans="1:5">
      <c r="A200" s="3">
        <v>50</v>
      </c>
      <c r="B200" s="3">
        <v>3.931825632724326</v>
      </c>
      <c r="C200" s="3">
        <v>9.33</v>
      </c>
      <c r="D200" s="3">
        <v>70.33333333</v>
      </c>
      <c r="E200" s="3">
        <v>2</v>
      </c>
    </row>
    <row r="201" spans="1:5">
      <c r="A201" s="3">
        <v>50</v>
      </c>
      <c r="B201" s="3">
        <v>3.931825632724326</v>
      </c>
      <c r="C201" s="3">
        <v>5.57</v>
      </c>
      <c r="D201" s="3">
        <v>96.66666667</v>
      </c>
      <c r="E201" s="3">
        <v>3</v>
      </c>
    </row>
    <row r="202" spans="1:5">
      <c r="A202" s="3">
        <v>60</v>
      </c>
      <c r="B202" s="3">
        <v>4.110873864173311</v>
      </c>
      <c r="C202" s="3">
        <v>-4.4</v>
      </c>
      <c r="D202" s="3">
        <v>91</v>
      </c>
      <c r="E202" s="3">
        <v>1</v>
      </c>
    </row>
    <row r="203" spans="1:5">
      <c r="A203" s="3">
        <v>50</v>
      </c>
      <c r="B203" s="3">
        <v>3.931825632724326</v>
      </c>
      <c r="C203" s="3">
        <v>3.07</v>
      </c>
      <c r="D203" s="3">
        <v>87</v>
      </c>
      <c r="E203" s="3">
        <v>5.666666667</v>
      </c>
    </row>
    <row r="204" spans="1:5">
      <c r="A204" s="3">
        <v>60</v>
      </c>
      <c r="B204" s="3">
        <v>4.110873864173311</v>
      </c>
      <c r="C204" s="3">
        <v>12.9</v>
      </c>
      <c r="D204" s="3">
        <v>71.33333333</v>
      </c>
      <c r="E204" s="3">
        <v>3.666666667</v>
      </c>
    </row>
    <row r="205" spans="1:5">
      <c r="A205" s="3">
        <v>180</v>
      </c>
      <c r="B205" s="3">
        <v>5.198497031265826</v>
      </c>
      <c r="C205" s="3">
        <v>12.1</v>
      </c>
      <c r="D205" s="3">
        <v>84</v>
      </c>
      <c r="E205" s="3">
        <v>10.75</v>
      </c>
    </row>
    <row r="206" spans="1:5">
      <c r="A206" s="3">
        <v>50</v>
      </c>
      <c r="B206" s="3">
        <v>3.931825632724326</v>
      </c>
      <c r="C206" s="3">
        <v>8.5</v>
      </c>
      <c r="D206" s="3">
        <v>92</v>
      </c>
      <c r="E206" s="3">
        <v>10.75</v>
      </c>
    </row>
    <row r="207" spans="1:5">
      <c r="A207" s="3">
        <v>100</v>
      </c>
      <c r="B207" s="3">
        <v>4.61512051684126</v>
      </c>
      <c r="C207" s="3">
        <v>14.5</v>
      </c>
      <c r="D207" s="3">
        <v>59.77777778</v>
      </c>
      <c r="E207" s="3">
        <v>8.111111111</v>
      </c>
    </row>
    <row r="208" spans="1:5">
      <c r="A208" s="3">
        <v>30</v>
      </c>
      <c r="B208" s="3">
        <v>3.433987204485146</v>
      </c>
      <c r="C208" s="3">
        <v>3.03</v>
      </c>
      <c r="D208" s="3">
        <v>86.66666667</v>
      </c>
      <c r="E208" s="3">
        <v>5.666666667</v>
      </c>
    </row>
    <row r="209" spans="1:5">
      <c r="A209" s="3">
        <v>90</v>
      </c>
      <c r="B209" s="3">
        <v>4.51085950651685</v>
      </c>
      <c r="C209" s="3">
        <v>20.495</v>
      </c>
      <c r="D209" s="3">
        <v>38.33333332000001</v>
      </c>
      <c r="E209" s="3">
        <v>5</v>
      </c>
    </row>
    <row r="210" spans="1:5">
      <c r="A210" s="3">
        <v>280</v>
      </c>
      <c r="B210" s="3">
        <v>5.638354669333745</v>
      </c>
      <c r="C210" s="3">
        <v>5.1</v>
      </c>
      <c r="D210" s="3">
        <v>85</v>
      </c>
      <c r="E210" s="3">
        <v>2</v>
      </c>
    </row>
    <row r="211" spans="1:5">
      <c r="A211" s="3">
        <v>130</v>
      </c>
      <c r="B211" s="3">
        <v>4.875197323201151</v>
      </c>
      <c r="C211" s="3">
        <v>16.3</v>
      </c>
      <c r="D211" s="3">
        <v>55.66666667</v>
      </c>
      <c r="E211" s="3">
        <v>1.666666667</v>
      </c>
    </row>
    <row r="212" spans="1:5">
      <c r="A212" s="3">
        <v>80</v>
      </c>
      <c r="B212" s="3">
        <v>4.394449154672439</v>
      </c>
      <c r="C212" s="3">
        <v>8.67</v>
      </c>
      <c r="D212" s="3">
        <v>50.66666667</v>
      </c>
      <c r="E212" s="3">
        <v>7.833333333</v>
      </c>
    </row>
    <row r="213" spans="1:5">
      <c r="A213" s="3">
        <v>50</v>
      </c>
      <c r="B213" s="3">
        <v>3.931825632724326</v>
      </c>
      <c r="C213" s="3">
        <v>7.65</v>
      </c>
      <c r="D213" s="3">
        <v>75</v>
      </c>
      <c r="E213" s="3">
        <v>3</v>
      </c>
    </row>
    <row r="214" spans="1:5">
      <c r="A214" s="3">
        <v>20</v>
      </c>
      <c r="B214" s="3">
        <v>3.044522437723423</v>
      </c>
      <c r="C214" s="3">
        <v>8.300000000000001</v>
      </c>
      <c r="D214" s="3">
        <v>85.33333333</v>
      </c>
      <c r="E214" s="3">
        <v>6.333333333</v>
      </c>
    </row>
    <row r="215" spans="1:5">
      <c r="A215" s="3">
        <v>50</v>
      </c>
      <c r="B215" s="3">
        <v>3.931825632724326</v>
      </c>
      <c r="C215" s="3">
        <v>-4.53</v>
      </c>
      <c r="D215" s="3">
        <v>88.33333333</v>
      </c>
      <c r="E215" s="3">
        <v>1</v>
      </c>
    </row>
    <row r="216" spans="1:5">
      <c r="A216" s="3">
        <v>40</v>
      </c>
      <c r="B216" s="3">
        <v>3.713572066704308</v>
      </c>
      <c r="C216" s="3">
        <v>4.85</v>
      </c>
      <c r="D216" s="3">
        <v>84</v>
      </c>
      <c r="E216" s="3">
        <v>2.5</v>
      </c>
    </row>
    <row r="217" spans="1:5">
      <c r="A217" s="3">
        <v>50</v>
      </c>
      <c r="B217" s="3">
        <v>3.931825632724326</v>
      </c>
      <c r="C217" s="3">
        <v>12.7</v>
      </c>
      <c r="D217" s="3">
        <v>96.66666667</v>
      </c>
      <c r="E217" s="3">
        <v>1</v>
      </c>
    </row>
    <row r="218" spans="1:5">
      <c r="A218" s="3">
        <v>140</v>
      </c>
      <c r="B218" s="3">
        <v>4.948759890378168</v>
      </c>
      <c r="C218" s="3">
        <v>9.77</v>
      </c>
      <c r="D218" s="3">
        <v>52</v>
      </c>
      <c r="E218" s="3">
        <v>3.333333333</v>
      </c>
    </row>
    <row r="219" spans="1:5">
      <c r="A219" s="3">
        <v>240</v>
      </c>
      <c r="B219" s="3">
        <v>5.484796933490655</v>
      </c>
      <c r="C219" s="3">
        <v>7.6</v>
      </c>
      <c r="D219" s="3">
        <v>57</v>
      </c>
      <c r="E219" s="3">
        <v>6</v>
      </c>
    </row>
    <row r="220" spans="1:5">
      <c r="A220" s="3">
        <v>50</v>
      </c>
      <c r="B220" s="3">
        <v>3.931825632724326</v>
      </c>
      <c r="C220" s="3">
        <v>8.65</v>
      </c>
      <c r="D220" s="3">
        <v>87</v>
      </c>
      <c r="E220" s="3">
        <v>1</v>
      </c>
    </row>
    <row r="221" spans="1:5">
      <c r="A221" s="3">
        <v>90</v>
      </c>
      <c r="B221" s="3">
        <v>4.51085950651685</v>
      </c>
      <c r="C221" s="3">
        <v>2.2</v>
      </c>
      <c r="D221" s="3">
        <v>84</v>
      </c>
      <c r="E221" s="3">
        <v>1.666666667</v>
      </c>
    </row>
    <row r="222" spans="1:5">
      <c r="A222" s="3">
        <v>320</v>
      </c>
      <c r="B222" s="3">
        <v>5.771441123130016</v>
      </c>
      <c r="C222" s="3">
        <v>11.8</v>
      </c>
      <c r="D222" s="3">
        <v>59.66666667</v>
      </c>
      <c r="E222" s="3">
        <v>6</v>
      </c>
    </row>
    <row r="223" spans="1:5">
      <c r="A223" s="3">
        <v>400</v>
      </c>
      <c r="B223" s="3">
        <v>5.993961427306569</v>
      </c>
      <c r="C223" s="3">
        <v>6.5</v>
      </c>
      <c r="D223" s="3">
        <v>95</v>
      </c>
      <c r="E223" s="3">
        <v>5</v>
      </c>
    </row>
    <row r="224" spans="1:5">
      <c r="A224" s="3">
        <v>230</v>
      </c>
      <c r="B224" s="3">
        <v>5.442417710521793</v>
      </c>
      <c r="C224" s="3">
        <v>5.33</v>
      </c>
      <c r="D224" s="3">
        <v>80</v>
      </c>
      <c r="E224" s="3">
        <v>5.333333333</v>
      </c>
    </row>
    <row r="225" spans="1:5">
      <c r="A225" s="3">
        <v>90</v>
      </c>
      <c r="B225" s="3">
        <v>4.51085950651685</v>
      </c>
      <c r="C225" s="3">
        <v>2.4</v>
      </c>
      <c r="D225" s="3">
        <v>99</v>
      </c>
      <c r="E225" s="3">
        <v>1</v>
      </c>
    </row>
    <row r="226" spans="1:5">
      <c r="A226" s="3">
        <v>80</v>
      </c>
      <c r="B226" s="3">
        <v>4.394449154672439</v>
      </c>
      <c r="C226" s="3">
        <v>10</v>
      </c>
      <c r="D226" s="3">
        <v>86</v>
      </c>
      <c r="E226" s="3">
        <v>6.666666667</v>
      </c>
    </row>
    <row r="227" spans="1:5">
      <c r="A227" s="3">
        <v>40</v>
      </c>
      <c r="B227" s="3">
        <v>3.713572066704308</v>
      </c>
      <c r="C227" s="3">
        <v>9.82</v>
      </c>
      <c r="D227" s="3">
        <v>74</v>
      </c>
      <c r="E227" s="3">
        <v>9</v>
      </c>
    </row>
    <row r="228" spans="1:5">
      <c r="A228" s="3">
        <v>40</v>
      </c>
      <c r="B228" s="3">
        <v>3.713572066704308</v>
      </c>
      <c r="C228" s="3">
        <v>11.3</v>
      </c>
      <c r="D228" s="3">
        <v>91.66666667</v>
      </c>
      <c r="E228" s="3">
        <v>7.666666667</v>
      </c>
    </row>
    <row r="229" spans="1:5">
      <c r="A229" s="3">
        <v>70</v>
      </c>
      <c r="B229" s="3">
        <v>4.262679877041315</v>
      </c>
      <c r="C229" s="3">
        <v>7.55</v>
      </c>
      <c r="D229" s="3">
        <v>85.66666667</v>
      </c>
      <c r="E229" s="3">
        <v>3</v>
      </c>
    </row>
    <row r="230" spans="1:5">
      <c r="A230" s="3">
        <v>60</v>
      </c>
      <c r="B230" s="3">
        <v>4.110873864173311</v>
      </c>
      <c r="C230" s="3">
        <v>4.9</v>
      </c>
      <c r="D230" s="3">
        <v>88</v>
      </c>
      <c r="E230" s="3">
        <v>3</v>
      </c>
    </row>
    <row r="231" spans="1:5">
      <c r="A231" s="3">
        <v>40</v>
      </c>
      <c r="B231" s="3">
        <v>3.713572066704308</v>
      </c>
      <c r="C231" s="3">
        <v>3.72</v>
      </c>
      <c r="D231" s="3">
        <v>91.04761904999999</v>
      </c>
      <c r="E231" s="3">
        <v>7.857142857</v>
      </c>
    </row>
    <row r="232" spans="1:5">
      <c r="A232" s="3">
        <v>40</v>
      </c>
      <c r="B232" s="3">
        <v>3.713572066704308</v>
      </c>
      <c r="C232" s="3">
        <v>0.367</v>
      </c>
      <c r="D232" s="3">
        <v>82</v>
      </c>
      <c r="E232" s="3">
        <v>3.666666667</v>
      </c>
    </row>
    <row r="233" spans="1:5">
      <c r="A233" s="3">
        <v>210</v>
      </c>
      <c r="B233" s="3">
        <v>5.351858133476067</v>
      </c>
      <c r="C233" s="3">
        <v>4.37</v>
      </c>
      <c r="D233" s="3">
        <v>85.66666667</v>
      </c>
      <c r="E233" s="3">
        <v>1.333333333</v>
      </c>
    </row>
    <row r="234" spans="1:5">
      <c r="A234" s="3">
        <v>60</v>
      </c>
      <c r="B234" s="3">
        <v>4.110873864173311</v>
      </c>
      <c r="C234" s="3">
        <v>3.2</v>
      </c>
      <c r="D234" s="3">
        <v>89</v>
      </c>
      <c r="E234" s="3">
        <v>7</v>
      </c>
    </row>
    <row r="235" spans="1:5">
      <c r="A235" s="3">
        <v>60</v>
      </c>
      <c r="B235" s="3">
        <v>4.110873864173311</v>
      </c>
      <c r="C235" s="3">
        <v>16.9</v>
      </c>
      <c r="D235" s="3">
        <v>40.66666667</v>
      </c>
      <c r="E235" s="3">
        <v>4.833333333</v>
      </c>
    </row>
    <row r="236" spans="1:5">
      <c r="A236" s="3">
        <v>180</v>
      </c>
      <c r="B236" s="3">
        <v>5.198497031265826</v>
      </c>
      <c r="C236" s="3">
        <v>6.53</v>
      </c>
      <c r="D236" s="3">
        <v>98.33333333</v>
      </c>
      <c r="E236" s="3">
        <v>5</v>
      </c>
    </row>
    <row r="237" spans="1:5">
      <c r="A237" s="3">
        <v>120</v>
      </c>
      <c r="B237" s="3">
        <v>4.795790545596741</v>
      </c>
      <c r="C237" s="3">
        <v>3.73</v>
      </c>
      <c r="D237" s="3">
        <v>88.33333333</v>
      </c>
      <c r="E237" s="3">
        <v>1</v>
      </c>
    </row>
    <row r="238" spans="1:5">
      <c r="A238" s="3">
        <v>40</v>
      </c>
      <c r="B238" s="3">
        <v>3.713572066704308</v>
      </c>
      <c r="C238" s="3">
        <v>11.5</v>
      </c>
      <c r="D238" s="3">
        <v>62</v>
      </c>
      <c r="E238" s="3">
        <v>9.333333333000001</v>
      </c>
    </row>
    <row r="239" spans="1:5">
      <c r="A239" s="3">
        <v>120</v>
      </c>
      <c r="B239" s="3">
        <v>4.795790545596741</v>
      </c>
      <c r="C239" s="3">
        <v>6.97</v>
      </c>
      <c r="D239" s="3">
        <v>66.66666667</v>
      </c>
      <c r="E239" s="3">
        <v>1.833333333</v>
      </c>
    </row>
    <row r="240" spans="1:5">
      <c r="A240" s="3">
        <v>80</v>
      </c>
      <c r="B240" s="3">
        <v>4.394449154672439</v>
      </c>
      <c r="C240" s="3">
        <v>19</v>
      </c>
      <c r="D240" s="3">
        <v>51.5</v>
      </c>
      <c r="E240" s="3">
        <v>3.833333333</v>
      </c>
    </row>
    <row r="241" spans="1:5">
      <c r="A241" s="3">
        <v>70</v>
      </c>
      <c r="B241" s="3">
        <v>4.262679877041315</v>
      </c>
      <c r="C241" s="3">
        <v>1.7</v>
      </c>
      <c r="D241" s="3">
        <v>94</v>
      </c>
      <c r="E241" s="3">
        <v>1</v>
      </c>
    </row>
    <row r="242" spans="1:5">
      <c r="A242" s="3">
        <v>120</v>
      </c>
      <c r="B242" s="3">
        <v>4.795790545596741</v>
      </c>
      <c r="C242" s="3">
        <v>8.23</v>
      </c>
      <c r="D242" s="3">
        <v>67</v>
      </c>
      <c r="E242" s="3">
        <v>4.333333333</v>
      </c>
    </row>
    <row r="243" spans="1:5">
      <c r="A243" s="3">
        <v>50</v>
      </c>
      <c r="B243" s="3">
        <v>3.931825632724326</v>
      </c>
      <c r="C243" s="3">
        <v>9.970000000000001</v>
      </c>
      <c r="D243" s="3">
        <v>86.16666667</v>
      </c>
      <c r="E243" s="3">
        <v>3</v>
      </c>
    </row>
    <row r="244" spans="1:5">
      <c r="A244" s="3">
        <v>50</v>
      </c>
      <c r="B244" s="3">
        <v>3.931825632724326</v>
      </c>
      <c r="C244" s="3">
        <v>7.85</v>
      </c>
      <c r="D244" s="3">
        <v>96.5</v>
      </c>
      <c r="E244" s="3">
        <v>5</v>
      </c>
    </row>
    <row r="245" spans="1:5">
      <c r="A245" s="3">
        <v>20</v>
      </c>
      <c r="B245" s="3">
        <v>3.044522437723423</v>
      </c>
      <c r="C245" s="3">
        <v>2.3</v>
      </c>
      <c r="D245" s="3">
        <v>87.5</v>
      </c>
      <c r="E245" s="3">
        <v>2</v>
      </c>
    </row>
    <row r="246" spans="1:5">
      <c r="A246" s="3">
        <v>100</v>
      </c>
      <c r="B246" s="3">
        <v>4.61512051684126</v>
      </c>
      <c r="C246" s="3">
        <v>12</v>
      </c>
      <c r="D246" s="3">
        <v>79.83333333</v>
      </c>
      <c r="E246" s="3">
        <v>6.333333333</v>
      </c>
    </row>
    <row r="247" spans="1:5">
      <c r="A247" s="3">
        <v>40</v>
      </c>
      <c r="B247" s="3">
        <v>3.713572066704308</v>
      </c>
      <c r="C247" s="3">
        <v>6.37</v>
      </c>
      <c r="D247" s="3">
        <v>95</v>
      </c>
      <c r="E247" s="3">
        <v>4</v>
      </c>
    </row>
    <row r="248" spans="1:5">
      <c r="A248" s="3">
        <v>60</v>
      </c>
      <c r="B248" s="3">
        <v>4.110873864173311</v>
      </c>
      <c r="C248" s="3">
        <v>9.1</v>
      </c>
      <c r="D248" s="3">
        <v>83</v>
      </c>
      <c r="E248" s="3">
        <v>9.833333333000001</v>
      </c>
    </row>
    <row r="249" spans="1:5">
      <c r="A249" s="3">
        <v>50</v>
      </c>
      <c r="B249" s="3">
        <v>3.931825632724326</v>
      </c>
      <c r="C249" s="3">
        <v>8.5</v>
      </c>
      <c r="D249" s="3">
        <v>62</v>
      </c>
      <c r="E249" s="3">
        <v>4.5</v>
      </c>
    </row>
    <row r="250" spans="1:5">
      <c r="A250" s="3">
        <v>30</v>
      </c>
      <c r="B250" s="3">
        <v>3.433987204485146</v>
      </c>
      <c r="C250" s="3">
        <v>11</v>
      </c>
      <c r="D250" s="3">
        <v>83.5</v>
      </c>
      <c r="E250" s="3">
        <v>10.5</v>
      </c>
    </row>
    <row r="251" spans="1:5">
      <c r="A251" s="3">
        <v>70</v>
      </c>
      <c r="B251" s="3">
        <v>4.262679877041315</v>
      </c>
      <c r="C251" s="3">
        <v>5.3</v>
      </c>
      <c r="D251" s="3">
        <v>96</v>
      </c>
      <c r="E251" s="3">
        <v>7</v>
      </c>
    </row>
    <row r="252" spans="1:5">
      <c r="A252" s="3">
        <v>70</v>
      </c>
      <c r="B252" s="3">
        <v>4.262679877041315</v>
      </c>
      <c r="C252" s="3">
        <v>6.2</v>
      </c>
      <c r="D252" s="3">
        <v>96</v>
      </c>
      <c r="E252" s="3">
        <v>2</v>
      </c>
    </row>
    <row r="253" spans="1:5">
      <c r="A253" s="3">
        <v>440</v>
      </c>
      <c r="B253" s="3">
        <v>6.089044875446846</v>
      </c>
      <c r="C253" s="3">
        <v>15.8</v>
      </c>
      <c r="D253" s="3">
        <v>59.33333333</v>
      </c>
      <c r="E253" s="3">
        <v>1.333333333</v>
      </c>
    </row>
    <row r="254" spans="1:5">
      <c r="A254" s="3">
        <v>60</v>
      </c>
      <c r="B254" s="3">
        <v>4.110873864173311</v>
      </c>
      <c r="C254" s="3">
        <v>3.3</v>
      </c>
      <c r="D254" s="3">
        <v>91</v>
      </c>
      <c r="E254" s="3">
        <v>3.666666667</v>
      </c>
    </row>
    <row r="255" spans="1:5">
      <c r="A255" s="3">
        <v>50</v>
      </c>
      <c r="B255" s="3">
        <v>3.931825632724326</v>
      </c>
      <c r="C255" s="3">
        <v>3</v>
      </c>
      <c r="D255" s="3">
        <v>91</v>
      </c>
      <c r="E255" s="3">
        <v>7.333333333</v>
      </c>
    </row>
    <row r="256" spans="1:5">
      <c r="A256" s="3">
        <v>90</v>
      </c>
      <c r="B256" s="3">
        <v>4.51085950651685</v>
      </c>
      <c r="C256" s="3">
        <v>3.5</v>
      </c>
      <c r="D256" s="3">
        <v>96</v>
      </c>
      <c r="E256" s="3">
        <v>4.5</v>
      </c>
    </row>
    <row r="257" spans="1:5">
      <c r="A257" s="3">
        <v>60</v>
      </c>
      <c r="B257" s="3">
        <v>4.110873864173311</v>
      </c>
      <c r="C257" s="3">
        <v>13.7</v>
      </c>
      <c r="D257" s="3">
        <v>72.66666667</v>
      </c>
      <c r="E257" s="3">
        <v>6.333333333</v>
      </c>
    </row>
    <row r="258" spans="1:5">
      <c r="A258" s="3">
        <v>50</v>
      </c>
      <c r="B258" s="3">
        <v>3.931825632724326</v>
      </c>
      <c r="C258" s="3">
        <v>2.57</v>
      </c>
      <c r="D258" s="3">
        <v>95.66666667</v>
      </c>
      <c r="E258" s="3">
        <v>2</v>
      </c>
    </row>
    <row r="259" spans="1:5">
      <c r="A259" s="3">
        <v>40</v>
      </c>
      <c r="B259" s="3">
        <v>3.713572066704308</v>
      </c>
      <c r="C259" s="3">
        <v>-4.1</v>
      </c>
      <c r="D259" s="3">
        <v>86</v>
      </c>
      <c r="E259" s="3">
        <v>2</v>
      </c>
    </row>
    <row r="260" spans="1:5">
      <c r="A260" s="3">
        <v>90</v>
      </c>
      <c r="B260" s="3">
        <v>4.51085950651685</v>
      </c>
      <c r="C260" s="3">
        <v>9.6</v>
      </c>
      <c r="D260" s="3">
        <v>92.33333333</v>
      </c>
      <c r="E260" s="3">
        <v>8.166666666999999</v>
      </c>
    </row>
    <row r="261" spans="1:5">
      <c r="A261" s="3">
        <v>50</v>
      </c>
      <c r="B261" s="3">
        <v>3.931825632724326</v>
      </c>
      <c r="C261" s="3">
        <v>5.02</v>
      </c>
      <c r="D261" s="3">
        <v>95.33333333</v>
      </c>
      <c r="E261" s="3">
        <v>1.166666667</v>
      </c>
    </row>
    <row r="262" spans="1:5">
      <c r="A262" s="3">
        <v>180</v>
      </c>
      <c r="B262" s="3">
        <v>5.198497031265826</v>
      </c>
      <c r="C262" s="3">
        <v>0.1</v>
      </c>
      <c r="D262" s="3">
        <v>93.33333333</v>
      </c>
      <c r="E262" s="3">
        <v>1</v>
      </c>
    </row>
    <row r="263" spans="1:5">
      <c r="A263" s="3">
        <v>90</v>
      </c>
      <c r="B263" s="3">
        <v>4.51085950651685</v>
      </c>
      <c r="C263" s="3">
        <v>4.1</v>
      </c>
      <c r="D263" s="3">
        <v>80.5</v>
      </c>
      <c r="E263" s="3">
        <v>2.833333333</v>
      </c>
    </row>
    <row r="264" spans="1:5">
      <c r="A264" s="3">
        <v>90</v>
      </c>
      <c r="B264" s="3">
        <v>4.51085950651685</v>
      </c>
      <c r="C264" s="3">
        <v>7.02</v>
      </c>
      <c r="D264" s="3">
        <v>56.33333333</v>
      </c>
      <c r="E264" s="3">
        <v>8.833333333000001</v>
      </c>
    </row>
    <row r="265" spans="1:5">
      <c r="A265" s="3">
        <v>60</v>
      </c>
      <c r="B265" s="3">
        <v>4.110873864173311</v>
      </c>
      <c r="C265" s="3">
        <v>5.12</v>
      </c>
      <c r="D265" s="3">
        <v>83.66666667</v>
      </c>
      <c r="E265" s="3">
        <v>3</v>
      </c>
    </row>
    <row r="266" spans="1:5">
      <c r="A266" s="3">
        <v>130</v>
      </c>
      <c r="B266" s="3">
        <v>4.875197323201151</v>
      </c>
      <c r="C266" s="3">
        <v>4.8</v>
      </c>
      <c r="D266" s="3">
        <v>95</v>
      </c>
      <c r="E266" s="3">
        <v>2.5</v>
      </c>
    </row>
    <row r="267" spans="1:5">
      <c r="A267" s="3">
        <v>370</v>
      </c>
      <c r="B267" s="3">
        <v>5.916202062607435</v>
      </c>
      <c r="C267" s="3">
        <v>7.83</v>
      </c>
      <c r="D267" s="3">
        <v>70.66666667</v>
      </c>
      <c r="E267" s="3">
        <v>10.75</v>
      </c>
    </row>
    <row r="268" spans="1:5">
      <c r="A268" s="3">
        <v>50</v>
      </c>
      <c r="B268" s="3">
        <v>3.931825632724326</v>
      </c>
      <c r="C268" s="3">
        <v>2.77</v>
      </c>
      <c r="D268" s="3">
        <v>95</v>
      </c>
      <c r="E268" s="3">
        <v>6</v>
      </c>
    </row>
    <row r="269" spans="1:5">
      <c r="A269" s="3">
        <v>50</v>
      </c>
      <c r="B269" s="3">
        <v>3.931825632724326</v>
      </c>
      <c r="C269" s="3">
        <v>4.62</v>
      </c>
      <c r="D269" s="3">
        <v>89.66666667</v>
      </c>
      <c r="E269" s="3">
        <v>2</v>
      </c>
    </row>
    <row r="270" spans="1:5">
      <c r="A270" s="3">
        <v>100</v>
      </c>
      <c r="B270" s="3">
        <v>4.61512051684126</v>
      </c>
      <c r="C270" s="3">
        <v>7.6</v>
      </c>
      <c r="D270" s="3">
        <v>87</v>
      </c>
      <c r="E270" s="3">
        <v>3</v>
      </c>
    </row>
    <row r="271" spans="1:5">
      <c r="A271" s="3">
        <v>50</v>
      </c>
      <c r="B271" s="3">
        <v>3.931825632724326</v>
      </c>
      <c r="C271" s="3">
        <v>6.77</v>
      </c>
      <c r="D271" s="3">
        <v>95.66666667</v>
      </c>
      <c r="E271" s="3">
        <v>1.333333333</v>
      </c>
    </row>
    <row r="272" spans="1:5">
      <c r="A272" s="3">
        <v>70</v>
      </c>
      <c r="B272" s="3">
        <v>4.262679877041315</v>
      </c>
      <c r="C272" s="3">
        <v>4</v>
      </c>
      <c r="D272" s="3">
        <v>73</v>
      </c>
      <c r="E272" s="3">
        <v>5</v>
      </c>
    </row>
    <row r="273" spans="1:5">
      <c r="A273" s="3">
        <v>50</v>
      </c>
      <c r="B273" s="3">
        <v>3.931825632724326</v>
      </c>
      <c r="C273" s="3">
        <v>8.550000000000001</v>
      </c>
      <c r="D273" s="3">
        <v>79</v>
      </c>
      <c r="E273" s="3">
        <v>5</v>
      </c>
    </row>
    <row r="274" spans="1:5">
      <c r="A274" s="3">
        <v>70</v>
      </c>
      <c r="B274" s="3">
        <v>4.262679877041315</v>
      </c>
      <c r="C274" s="3">
        <v>9</v>
      </c>
      <c r="D274" s="3">
        <v>82</v>
      </c>
      <c r="E274" s="3">
        <v>10</v>
      </c>
    </row>
    <row r="275" spans="1:5">
      <c r="A275" s="3">
        <v>80</v>
      </c>
      <c r="B275" s="3">
        <v>4.394449154672439</v>
      </c>
      <c r="C275" s="3">
        <v>18.5</v>
      </c>
      <c r="D275" s="3">
        <v>38.33333332000001</v>
      </c>
      <c r="E275" s="3">
        <v>4</v>
      </c>
    </row>
    <row r="276" spans="1:5">
      <c r="A276" s="3">
        <v>60</v>
      </c>
      <c r="B276" s="3">
        <v>4.110873864173311</v>
      </c>
      <c r="C276" s="3">
        <v>14</v>
      </c>
      <c r="D276" s="3">
        <v>73</v>
      </c>
      <c r="E276" s="3">
        <v>2</v>
      </c>
    </row>
    <row r="277" spans="1:5">
      <c r="A277" s="3">
        <v>90</v>
      </c>
      <c r="B277" s="3">
        <v>4.51085950651685</v>
      </c>
      <c r="C277" s="3">
        <v>8.800000000000001</v>
      </c>
      <c r="D277" s="3">
        <v>79</v>
      </c>
      <c r="E277" s="3">
        <v>5</v>
      </c>
    </row>
    <row r="278" spans="1:5">
      <c r="A278" s="3">
        <v>60</v>
      </c>
      <c r="B278" s="3">
        <v>4.110873864173311</v>
      </c>
      <c r="C278" s="3">
        <v>-2.2</v>
      </c>
      <c r="D278" s="3">
        <v>86</v>
      </c>
      <c r="E278" s="3">
        <v>1</v>
      </c>
    </row>
    <row r="279" spans="1:5">
      <c r="A279" s="3">
        <v>90</v>
      </c>
      <c r="B279" s="3">
        <v>4.51085950651685</v>
      </c>
      <c r="C279" s="3">
        <v>13.1</v>
      </c>
      <c r="D279" s="3">
        <v>48</v>
      </c>
      <c r="E279" s="3">
        <v>4</v>
      </c>
    </row>
    <row r="280" spans="1:5">
      <c r="A280" s="3">
        <v>50</v>
      </c>
      <c r="B280" s="3">
        <v>3.931825632724326</v>
      </c>
      <c r="C280" s="3">
        <v>12.3</v>
      </c>
      <c r="D280" s="3">
        <v>52.66666667</v>
      </c>
      <c r="E280" s="3">
        <v>4.166666667</v>
      </c>
    </row>
    <row r="281" spans="1:5">
      <c r="A281" s="3">
        <v>30</v>
      </c>
      <c r="B281" s="3">
        <v>3.433987204485146</v>
      </c>
      <c r="C281" s="3">
        <v>6.7</v>
      </c>
      <c r="D281" s="3">
        <v>80</v>
      </c>
      <c r="E281" s="3">
        <v>3.5</v>
      </c>
    </row>
    <row r="282" spans="1:5">
      <c r="A282" s="3">
        <v>110</v>
      </c>
      <c r="B282" s="3">
        <v>4.709530201312334</v>
      </c>
      <c r="C282" s="3">
        <v>5.02</v>
      </c>
      <c r="D282" s="3">
        <v>81</v>
      </c>
      <c r="E282" s="3">
        <v>3.166666667</v>
      </c>
    </row>
    <row r="283" spans="1:5">
      <c r="A283" s="3">
        <v>60</v>
      </c>
      <c r="B283" s="3">
        <v>4.110873864173311</v>
      </c>
      <c r="C283" s="3">
        <v>11.9</v>
      </c>
      <c r="D283" s="3">
        <v>92</v>
      </c>
      <c r="E283" s="3">
        <v>2</v>
      </c>
    </row>
    <row r="284" spans="1:5">
      <c r="A284" s="3">
        <v>60</v>
      </c>
      <c r="B284" s="3">
        <v>4.110873864173311</v>
      </c>
      <c r="C284" s="3">
        <v>2.97</v>
      </c>
      <c r="D284" s="3">
        <v>82</v>
      </c>
      <c r="E284" s="3">
        <v>6</v>
      </c>
    </row>
    <row r="285" spans="1:5">
      <c r="A285" s="3">
        <v>60</v>
      </c>
      <c r="B285" s="3">
        <v>4.110873864173311</v>
      </c>
      <c r="C285" s="3">
        <v>10.4</v>
      </c>
      <c r="D285" s="3">
        <v>83</v>
      </c>
      <c r="E285" s="3">
        <v>7.5</v>
      </c>
    </row>
    <row r="286" spans="1:5">
      <c r="A286" s="3">
        <v>50</v>
      </c>
      <c r="B286" s="3">
        <v>3.931825632724326</v>
      </c>
      <c r="C286" s="3">
        <v>6.6</v>
      </c>
      <c r="D286" s="3">
        <v>81</v>
      </c>
      <c r="E286" s="3">
        <v>5</v>
      </c>
    </row>
    <row r="287" spans="1:5">
      <c r="A287" s="3">
        <v>90</v>
      </c>
      <c r="B287" s="3">
        <v>4.51085950651685</v>
      </c>
      <c r="C287" s="3">
        <v>9.449999999999999</v>
      </c>
      <c r="D287" s="3">
        <v>42</v>
      </c>
      <c r="E287" s="3">
        <v>4</v>
      </c>
    </row>
    <row r="288" spans="1:5">
      <c r="A288" s="3">
        <v>50</v>
      </c>
      <c r="B288" s="3">
        <v>3.931825632724326</v>
      </c>
      <c r="C288" s="3">
        <v>3.2</v>
      </c>
      <c r="D288" s="3">
        <v>89</v>
      </c>
      <c r="E288" s="3">
        <v>1</v>
      </c>
    </row>
    <row r="289" spans="1:5">
      <c r="A289" s="3">
        <v>80</v>
      </c>
      <c r="B289" s="3">
        <v>4.394449154672439</v>
      </c>
      <c r="C289" s="3">
        <v>5.6</v>
      </c>
      <c r="D289" s="3">
        <v>87</v>
      </c>
      <c r="E289" s="3">
        <v>9</v>
      </c>
    </row>
    <row r="290" spans="1:5">
      <c r="A290" s="3">
        <v>80</v>
      </c>
      <c r="B290" s="3">
        <v>4.394449154672439</v>
      </c>
      <c r="C290" s="3">
        <v>8.77</v>
      </c>
      <c r="D290" s="3">
        <v>83</v>
      </c>
      <c r="E290" s="3">
        <v>5.666666667</v>
      </c>
    </row>
    <row r="291" spans="1:5">
      <c r="A291" s="3">
        <v>80</v>
      </c>
      <c r="B291" s="3">
        <v>4.394449154672439</v>
      </c>
      <c r="C291" s="3">
        <v>8.6</v>
      </c>
      <c r="D291" s="3">
        <v>92</v>
      </c>
      <c r="E291" s="3">
        <v>1</v>
      </c>
    </row>
    <row r="292" spans="1:5">
      <c r="A292" s="3">
        <v>230</v>
      </c>
      <c r="B292" s="3">
        <v>5.442417710521793</v>
      </c>
      <c r="C292" s="3">
        <v>4.65</v>
      </c>
      <c r="D292" s="3">
        <v>70.5</v>
      </c>
      <c r="E292" s="3">
        <v>6</v>
      </c>
    </row>
    <row r="293" spans="1:5">
      <c r="A293" s="3">
        <v>50</v>
      </c>
      <c r="B293" s="3">
        <v>3.931825632724326</v>
      </c>
      <c r="C293" s="3">
        <v>1.68</v>
      </c>
      <c r="D293" s="3">
        <v>90</v>
      </c>
      <c r="E293" s="3">
        <v>4.833333333</v>
      </c>
    </row>
    <row r="294" spans="1:5">
      <c r="A294" s="3">
        <v>110</v>
      </c>
      <c r="B294" s="3">
        <v>4.709530201312334</v>
      </c>
      <c r="C294" s="3">
        <v>6.3</v>
      </c>
      <c r="D294" s="3">
        <v>82</v>
      </c>
      <c r="E294" s="3">
        <v>6</v>
      </c>
    </row>
    <row r="295" spans="1:5">
      <c r="A295" s="3">
        <v>60</v>
      </c>
      <c r="B295" s="3">
        <v>4.110873864173311</v>
      </c>
      <c r="C295" s="3">
        <v>10.7</v>
      </c>
      <c r="D295" s="3">
        <v>57.5</v>
      </c>
      <c r="E295" s="3">
        <v>2.833333333</v>
      </c>
    </row>
    <row r="296" spans="1:5">
      <c r="A296" s="3">
        <v>310</v>
      </c>
      <c r="B296" s="3">
        <v>5.739792912179234</v>
      </c>
      <c r="C296" s="3">
        <v>15.3</v>
      </c>
      <c r="D296" s="3">
        <v>57.33333333</v>
      </c>
      <c r="E296" s="3">
        <v>3.333333333</v>
      </c>
    </row>
    <row r="297" spans="1:5">
      <c r="A297" s="3">
        <v>140</v>
      </c>
      <c r="B297" s="3">
        <v>4.948759890378168</v>
      </c>
      <c r="C297" s="3">
        <v>6.53</v>
      </c>
      <c r="D297" s="3">
        <v>72.33333333</v>
      </c>
      <c r="E297" s="3">
        <v>2</v>
      </c>
    </row>
    <row r="298" spans="1:5">
      <c r="A298" s="3">
        <v>300</v>
      </c>
      <c r="B298" s="3">
        <v>5.707110264748875</v>
      </c>
      <c r="C298" s="3">
        <v>10.6</v>
      </c>
      <c r="D298" s="3">
        <v>86.83333333</v>
      </c>
      <c r="E298" s="3">
        <v>9</v>
      </c>
    </row>
    <row r="299" spans="1:5">
      <c r="A299" s="3">
        <v>70</v>
      </c>
      <c r="B299" s="3">
        <v>4.262679877041315</v>
      </c>
      <c r="C299" s="3">
        <v>20</v>
      </c>
      <c r="D299" s="3">
        <v>49</v>
      </c>
      <c r="E299" s="3">
        <v>2.5</v>
      </c>
    </row>
    <row r="300" spans="1:5">
      <c r="A300" s="3">
        <v>50</v>
      </c>
      <c r="B300" s="3">
        <v>3.931825632724326</v>
      </c>
      <c r="C300" s="3">
        <v>2.75</v>
      </c>
      <c r="D300" s="3">
        <v>81.83333333</v>
      </c>
      <c r="E300" s="3">
        <v>10</v>
      </c>
    </row>
    <row r="301" spans="1:5">
      <c r="A301" s="3">
        <v>140</v>
      </c>
      <c r="B301" s="3">
        <v>4.948759890378168</v>
      </c>
      <c r="C301" s="3">
        <v>13.4</v>
      </c>
      <c r="D301" s="3">
        <v>46.66666667</v>
      </c>
      <c r="E301" s="3">
        <v>3.833333333</v>
      </c>
    </row>
    <row r="302" spans="1:5">
      <c r="A302" s="3">
        <v>40</v>
      </c>
      <c r="B302" s="3">
        <v>3.713572066704308</v>
      </c>
      <c r="C302" s="3">
        <v>2.82</v>
      </c>
      <c r="D302" s="3">
        <v>92.5</v>
      </c>
      <c r="E302" s="3">
        <v>5</v>
      </c>
    </row>
    <row r="303" spans="1:5">
      <c r="A303" s="3">
        <v>50</v>
      </c>
      <c r="B303" s="3">
        <v>3.931825632724326</v>
      </c>
      <c r="C303" s="3">
        <v>14.1</v>
      </c>
      <c r="D303" s="3">
        <v>90.83333333</v>
      </c>
      <c r="E303" s="3">
        <v>3.166666667</v>
      </c>
    </row>
    <row r="304" spans="1:5">
      <c r="A304" s="3">
        <v>50</v>
      </c>
      <c r="B304" s="3">
        <v>3.931825632724326</v>
      </c>
      <c r="C304" s="3">
        <v>9.1</v>
      </c>
      <c r="D304" s="3">
        <v>81</v>
      </c>
      <c r="E304" s="3">
        <v>1</v>
      </c>
    </row>
    <row r="305" spans="1:5">
      <c r="A305" s="3">
        <v>50</v>
      </c>
      <c r="B305" s="3">
        <v>3.931825632724326</v>
      </c>
      <c r="C305" s="3">
        <v>7.4</v>
      </c>
      <c r="D305" s="3">
        <v>88</v>
      </c>
      <c r="E305" s="3">
        <v>3</v>
      </c>
    </row>
    <row r="306" spans="1:5">
      <c r="A306" s="3">
        <v>50</v>
      </c>
      <c r="B306" s="3">
        <v>3.931825632724326</v>
      </c>
      <c r="C306" s="3">
        <v>10.4</v>
      </c>
      <c r="D306" s="3">
        <v>92</v>
      </c>
      <c r="E306" s="3">
        <v>9.833333333000001</v>
      </c>
    </row>
    <row r="307" spans="1:5">
      <c r="A307" s="3">
        <v>60</v>
      </c>
      <c r="B307" s="3">
        <v>4.110873864173311</v>
      </c>
      <c r="C307" s="3">
        <v>1.2</v>
      </c>
      <c r="D307" s="3">
        <v>89.5</v>
      </c>
      <c r="E307" s="3">
        <v>1.5</v>
      </c>
    </row>
    <row r="308" spans="1:5">
      <c r="A308" s="3">
        <v>50</v>
      </c>
      <c r="B308" s="3">
        <v>3.931825632724326</v>
      </c>
      <c r="C308" s="3">
        <v>4.9</v>
      </c>
      <c r="D308" s="3">
        <v>76.66666667</v>
      </c>
      <c r="E308" s="3">
        <v>3.333333333</v>
      </c>
    </row>
    <row r="309" spans="1:5">
      <c r="A309" s="3">
        <v>50</v>
      </c>
      <c r="B309" s="3">
        <v>3.931825632724326</v>
      </c>
      <c r="C309" s="3">
        <v>0.433</v>
      </c>
      <c r="D309" s="3">
        <v>97</v>
      </c>
      <c r="E309" s="3">
        <v>1.166666667</v>
      </c>
    </row>
    <row r="310" spans="1:5">
      <c r="A310" s="3">
        <v>80</v>
      </c>
      <c r="B310" s="3">
        <v>4.394449154672439</v>
      </c>
      <c r="C310" s="3">
        <v>2.83</v>
      </c>
      <c r="D310" s="3">
        <v>59.66666667</v>
      </c>
      <c r="E310" s="3">
        <v>1.333333333</v>
      </c>
    </row>
    <row r="311" spans="1:5">
      <c r="A311" s="3">
        <v>50</v>
      </c>
      <c r="B311" s="3">
        <v>3.931825632724326</v>
      </c>
      <c r="C311" s="3">
        <v>0.2</v>
      </c>
      <c r="D311" s="3">
        <v>96.66666667</v>
      </c>
      <c r="E311" s="3">
        <v>1.333333333</v>
      </c>
    </row>
    <row r="312" spans="1:5">
      <c r="A312" s="3">
        <v>50</v>
      </c>
      <c r="B312" s="3">
        <v>3.931825632724326</v>
      </c>
      <c r="C312" s="3">
        <v>6.33</v>
      </c>
      <c r="D312" s="3">
        <v>97</v>
      </c>
      <c r="E312" s="3">
        <v>1</v>
      </c>
    </row>
    <row r="313" spans="1:5">
      <c r="A313" s="3">
        <v>50</v>
      </c>
      <c r="B313" s="3">
        <v>3.931825632724326</v>
      </c>
      <c r="C313" s="3">
        <v>0.133</v>
      </c>
      <c r="D313" s="3">
        <v>90</v>
      </c>
      <c r="E313" s="3">
        <v>1.333333333</v>
      </c>
    </row>
    <row r="314" spans="1:5">
      <c r="A314" s="3">
        <v>40</v>
      </c>
      <c r="B314" s="3">
        <v>3.713572066704308</v>
      </c>
      <c r="C314" s="3">
        <v>11.4</v>
      </c>
      <c r="D314" s="3">
        <v>62</v>
      </c>
      <c r="E314" s="3">
        <v>4</v>
      </c>
    </row>
    <row r="315" spans="1:5">
      <c r="A315" s="3">
        <v>100</v>
      </c>
      <c r="B315" s="3">
        <v>4.61512051684126</v>
      </c>
      <c r="C315" s="3">
        <v>15.7</v>
      </c>
      <c r="D315" s="3">
        <v>63.83333333</v>
      </c>
      <c r="E315" s="3">
        <v>7.333333333</v>
      </c>
    </row>
    <row r="316" spans="1:5">
      <c r="A316" s="3">
        <v>80</v>
      </c>
      <c r="B316" s="3">
        <v>4.394449154672439</v>
      </c>
      <c r="C316" s="3">
        <v>5.82</v>
      </c>
      <c r="D316" s="3">
        <v>78.83333333</v>
      </c>
      <c r="E316" s="3">
        <v>2</v>
      </c>
    </row>
    <row r="317" spans="1:5">
      <c r="A317" s="3">
        <v>400</v>
      </c>
      <c r="B317" s="3">
        <v>5.993961427306569</v>
      </c>
      <c r="C317" s="3">
        <v>11</v>
      </c>
      <c r="D317" s="3">
        <v>90.16666667</v>
      </c>
      <c r="E317" s="3">
        <v>9.166666666999999</v>
      </c>
    </row>
    <row r="318" spans="1:5">
      <c r="A318" s="3">
        <v>50</v>
      </c>
      <c r="B318" s="3">
        <v>3.931825632724326</v>
      </c>
      <c r="C318" s="3">
        <v>0.1</v>
      </c>
      <c r="D318" s="3">
        <v>76</v>
      </c>
      <c r="E318" s="3">
        <v>5</v>
      </c>
    </row>
    <row r="319" spans="1:5">
      <c r="A319" s="3">
        <v>70</v>
      </c>
      <c r="B319" s="3">
        <v>4.262679877041315</v>
      </c>
      <c r="C319" s="3">
        <v>12</v>
      </c>
      <c r="D319" s="3">
        <v>79</v>
      </c>
      <c r="E319" s="3">
        <v>5.333333333</v>
      </c>
    </row>
    <row r="320" spans="1:5">
      <c r="A320" s="3">
        <v>110</v>
      </c>
      <c r="B320" s="3">
        <v>4.709530201312334</v>
      </c>
      <c r="C320" s="3">
        <v>5.23</v>
      </c>
      <c r="D320" s="3">
        <v>97</v>
      </c>
      <c r="E320" s="3">
        <v>1</v>
      </c>
    </row>
    <row r="321" spans="1:5">
      <c r="A321" s="3">
        <v>280</v>
      </c>
      <c r="B321" s="3">
        <v>5.638354669333745</v>
      </c>
      <c r="C321" s="3">
        <v>-0.5</v>
      </c>
      <c r="D321" s="3">
        <v>95</v>
      </c>
      <c r="E321" s="3">
        <v>1</v>
      </c>
    </row>
    <row r="322" spans="1:5">
      <c r="A322" s="3">
        <v>50</v>
      </c>
      <c r="B322" s="3">
        <v>3.931825632724326</v>
      </c>
      <c r="C322" s="3">
        <v>6.23</v>
      </c>
      <c r="D322" s="3">
        <v>96.33333333</v>
      </c>
      <c r="E322" s="3">
        <v>1</v>
      </c>
    </row>
    <row r="323" spans="1:5">
      <c r="A323" s="3">
        <v>60</v>
      </c>
      <c r="B323" s="3">
        <v>4.110873864173311</v>
      </c>
      <c r="C323" s="3">
        <v>1.5</v>
      </c>
      <c r="D323" s="3">
        <v>96.5</v>
      </c>
      <c r="E323" s="3">
        <v>2</v>
      </c>
    </row>
    <row r="324" spans="1:5">
      <c r="A324" s="3">
        <v>80</v>
      </c>
      <c r="B324" s="3">
        <v>4.394449154672439</v>
      </c>
      <c r="C324" s="3">
        <v>8.6</v>
      </c>
      <c r="D324" s="3">
        <v>81</v>
      </c>
      <c r="E324" s="3">
        <v>9</v>
      </c>
    </row>
    <row r="325" spans="1:5">
      <c r="A325" s="3">
        <v>70</v>
      </c>
      <c r="B325" s="3">
        <v>4.262679877041315</v>
      </c>
      <c r="C325" s="3">
        <v>10.2</v>
      </c>
      <c r="D325" s="3">
        <v>72.33333333</v>
      </c>
      <c r="E325" s="3">
        <v>6.166666667</v>
      </c>
    </row>
    <row r="326" spans="1:5">
      <c r="A326" s="3">
        <v>100</v>
      </c>
      <c r="B326" s="3">
        <v>4.61512051684126</v>
      </c>
      <c r="C326" s="3">
        <v>3.7</v>
      </c>
      <c r="D326" s="3">
        <v>95</v>
      </c>
      <c r="E326" s="3">
        <v>5</v>
      </c>
    </row>
    <row r="327" spans="1:5">
      <c r="A327" s="3">
        <v>60</v>
      </c>
      <c r="B327" s="3">
        <v>4.110873864173311</v>
      </c>
      <c r="C327" s="3">
        <v>0.267</v>
      </c>
      <c r="D327" s="3">
        <v>99.33333333</v>
      </c>
      <c r="E327" s="3">
        <v>10</v>
      </c>
    </row>
    <row r="328" spans="1:5">
      <c r="A328" s="3">
        <v>90</v>
      </c>
      <c r="B328" s="3">
        <v>4.51085950651685</v>
      </c>
      <c r="C328" s="3">
        <v>12.5</v>
      </c>
      <c r="D328" s="3">
        <v>56.33333333</v>
      </c>
      <c r="E328" s="3">
        <v>7</v>
      </c>
    </row>
    <row r="329" spans="1:5">
      <c r="A329" s="3">
        <v>50</v>
      </c>
      <c r="B329" s="3">
        <v>3.931825632724326</v>
      </c>
      <c r="C329" s="3">
        <v>4.6</v>
      </c>
      <c r="D329" s="3">
        <v>73</v>
      </c>
      <c r="E329" s="3">
        <v>6</v>
      </c>
    </row>
    <row r="330" spans="1:5">
      <c r="A330" s="3">
        <v>60</v>
      </c>
      <c r="B330" s="3">
        <v>4.110873864173311</v>
      </c>
      <c r="C330" s="3">
        <v>11.8</v>
      </c>
      <c r="D330" s="3">
        <v>79.5</v>
      </c>
      <c r="E330" s="3">
        <v>5</v>
      </c>
    </row>
    <row r="331" spans="1:5">
      <c r="A331" s="3">
        <v>110</v>
      </c>
      <c r="B331" s="3">
        <v>4.709530201312334</v>
      </c>
      <c r="C331" s="3">
        <v>2.63</v>
      </c>
      <c r="D331" s="3">
        <v>95.66666667</v>
      </c>
      <c r="E331" s="3">
        <v>1.666666667</v>
      </c>
    </row>
    <row r="332" spans="1:5">
      <c r="A332" s="3">
        <v>50</v>
      </c>
      <c r="B332" s="3">
        <v>3.931825632724326</v>
      </c>
      <c r="C332" s="3">
        <v>10.3</v>
      </c>
      <c r="D332" s="3">
        <v>95.16666667</v>
      </c>
      <c r="E332" s="3">
        <v>6.833333333</v>
      </c>
    </row>
    <row r="333" spans="1:5">
      <c r="A333" s="3">
        <v>90</v>
      </c>
      <c r="B333" s="3">
        <v>4.51085950651685</v>
      </c>
      <c r="C333" s="3">
        <v>4.13</v>
      </c>
      <c r="D333" s="3">
        <v>60</v>
      </c>
      <c r="E333" s="3">
        <v>5.666666667</v>
      </c>
    </row>
    <row r="334" spans="1:5">
      <c r="A334" s="3">
        <v>60</v>
      </c>
      <c r="B334" s="3">
        <v>4.110873864173311</v>
      </c>
      <c r="C334" s="3">
        <v>7.13</v>
      </c>
      <c r="D334" s="3">
        <v>79.33333333</v>
      </c>
      <c r="E334" s="3">
        <v>6.166666667</v>
      </c>
    </row>
    <row r="335" spans="1:5">
      <c r="A335" s="3">
        <v>60</v>
      </c>
      <c r="B335" s="3">
        <v>4.110873864173311</v>
      </c>
      <c r="C335" s="3">
        <v>16.5</v>
      </c>
      <c r="D335" s="3">
        <v>76</v>
      </c>
      <c r="E335" s="3">
        <v>3</v>
      </c>
    </row>
    <row r="336" spans="1:5">
      <c r="A336" s="3">
        <v>60</v>
      </c>
      <c r="B336" s="3">
        <v>4.110873864173311</v>
      </c>
      <c r="C336" s="3">
        <v>4.3</v>
      </c>
      <c r="D336" s="3">
        <v>87.5</v>
      </c>
      <c r="E336" s="3">
        <v>6</v>
      </c>
    </row>
    <row r="337" spans="1:5">
      <c r="A337" s="3">
        <v>50</v>
      </c>
      <c r="B337" s="3">
        <v>3.931825632724326</v>
      </c>
      <c r="C337" s="3">
        <v>1.4</v>
      </c>
      <c r="D337" s="3">
        <v>80</v>
      </c>
      <c r="E337" s="3">
        <v>5</v>
      </c>
    </row>
    <row r="338" spans="1:5">
      <c r="A338" s="3">
        <v>40</v>
      </c>
      <c r="B338" s="3">
        <v>3.713572066704308</v>
      </c>
      <c r="C338" s="3">
        <v>6.5</v>
      </c>
      <c r="D338" s="3">
        <v>71.66666667</v>
      </c>
      <c r="E338" s="3">
        <v>2</v>
      </c>
    </row>
    <row r="339" spans="1:5">
      <c r="A339" s="3">
        <v>90</v>
      </c>
      <c r="B339" s="3">
        <v>4.51085950651685</v>
      </c>
      <c r="C339" s="3">
        <v>8.93</v>
      </c>
      <c r="D339" s="3">
        <v>82.66666667</v>
      </c>
      <c r="E339" s="3">
        <v>9.666666666999999</v>
      </c>
    </row>
    <row r="340" spans="1:5">
      <c r="A340" s="3">
        <v>60</v>
      </c>
      <c r="B340" s="3">
        <v>4.110873864173311</v>
      </c>
      <c r="C340" s="3">
        <v>13.1</v>
      </c>
      <c r="D340" s="3">
        <v>57.33333333</v>
      </c>
      <c r="E340" s="3">
        <v>4</v>
      </c>
    </row>
    <row r="341" spans="1:5">
      <c r="A341" s="3">
        <v>420</v>
      </c>
      <c r="B341" s="3">
        <v>6.042632833682381</v>
      </c>
      <c r="C341" s="3">
        <v>7.27</v>
      </c>
      <c r="D341" s="3">
        <v>54</v>
      </c>
      <c r="E341" s="3">
        <v>7.666666667</v>
      </c>
    </row>
    <row r="342" spans="1:5">
      <c r="A342" s="3">
        <v>40</v>
      </c>
      <c r="B342" s="3">
        <v>3.713572066704308</v>
      </c>
      <c r="C342" s="3">
        <v>5.97</v>
      </c>
      <c r="D342" s="3">
        <v>85</v>
      </c>
      <c r="E342" s="3">
        <v>7.666666667</v>
      </c>
    </row>
    <row r="343" spans="1:5">
      <c r="A343" s="3">
        <v>90</v>
      </c>
      <c r="B343" s="3">
        <v>4.51085950651685</v>
      </c>
      <c r="C343" s="3">
        <v>-1.07</v>
      </c>
      <c r="D343" s="3">
        <v>77</v>
      </c>
      <c r="E343" s="3">
        <v>2</v>
      </c>
    </row>
    <row r="344" spans="1:5">
      <c r="A344" s="3">
        <v>70</v>
      </c>
      <c r="B344" s="3">
        <v>4.262679877041315</v>
      </c>
      <c r="C344" s="3">
        <v>2.43</v>
      </c>
      <c r="D344" s="3">
        <v>82.33333333</v>
      </c>
      <c r="E344" s="3">
        <v>3.333333333</v>
      </c>
    </row>
    <row r="345" spans="1:5">
      <c r="A345" s="3">
        <v>50</v>
      </c>
      <c r="B345" s="3">
        <v>3.931825632724326</v>
      </c>
      <c r="C345" s="3">
        <v>7.32</v>
      </c>
      <c r="D345" s="3">
        <v>88.66666667</v>
      </c>
      <c r="E345" s="3">
        <v>3</v>
      </c>
    </row>
    <row r="346" spans="1:5">
      <c r="A346" s="3">
        <v>100</v>
      </c>
      <c r="B346" s="3">
        <v>4.61512051684126</v>
      </c>
      <c r="C346" s="3">
        <v>4.3</v>
      </c>
      <c r="D346" s="3">
        <v>86.33333333</v>
      </c>
      <c r="E346" s="3">
        <v>4</v>
      </c>
    </row>
    <row r="347" spans="1:5">
      <c r="A347" s="3">
        <v>220</v>
      </c>
      <c r="B347" s="3">
        <v>5.398162701517752</v>
      </c>
      <c r="C347" s="3">
        <v>20.495</v>
      </c>
      <c r="D347" s="3">
        <v>57</v>
      </c>
      <c r="E347" s="3">
        <v>7</v>
      </c>
    </row>
    <row r="348" spans="1:5">
      <c r="A348" s="3">
        <v>110</v>
      </c>
      <c r="B348" s="3">
        <v>4.709530201312334</v>
      </c>
      <c r="C348" s="3">
        <v>20.495</v>
      </c>
      <c r="D348" s="3">
        <v>59.5</v>
      </c>
      <c r="E348" s="3">
        <v>5.5</v>
      </c>
    </row>
    <row r="349" spans="1:5">
      <c r="A349" s="3">
        <v>110</v>
      </c>
      <c r="B349" s="3">
        <v>4.709530201312334</v>
      </c>
      <c r="C349" s="3">
        <v>4.32</v>
      </c>
      <c r="D349" s="3">
        <v>77.16666667</v>
      </c>
      <c r="E349" s="3">
        <v>2.833333333</v>
      </c>
    </row>
    <row r="350" spans="1:5">
      <c r="A350" s="3">
        <v>30</v>
      </c>
      <c r="B350" s="3">
        <v>3.433987204485146</v>
      </c>
      <c r="C350" s="3">
        <v>4.38</v>
      </c>
      <c r="D350" s="3">
        <v>95</v>
      </c>
      <c r="E350" s="3">
        <v>2.333333333</v>
      </c>
    </row>
    <row r="351" spans="1:5">
      <c r="A351" s="3">
        <v>140</v>
      </c>
      <c r="B351" s="3">
        <v>4.948759890378168</v>
      </c>
      <c r="C351" s="3">
        <v>14.4</v>
      </c>
      <c r="D351" s="3">
        <v>66.33333333</v>
      </c>
      <c r="E351" s="3">
        <v>4.666666667</v>
      </c>
    </row>
    <row r="352" spans="1:5">
      <c r="A352" s="3">
        <v>470</v>
      </c>
      <c r="B352" s="3">
        <v>6.154858094016418</v>
      </c>
      <c r="C352" s="3">
        <v>20.495</v>
      </c>
      <c r="D352" s="3">
        <v>45.5</v>
      </c>
      <c r="E352" s="3">
        <v>1.833333333</v>
      </c>
    </row>
    <row r="353" spans="1:5">
      <c r="A353" s="3">
        <v>50</v>
      </c>
      <c r="B353" s="3">
        <v>3.931825632724326</v>
      </c>
      <c r="C353" s="3">
        <v>6.58</v>
      </c>
      <c r="D353" s="3">
        <v>92.83333333</v>
      </c>
      <c r="E353" s="3">
        <v>1</v>
      </c>
    </row>
    <row r="354" spans="1:5">
      <c r="A354" s="3">
        <v>620</v>
      </c>
      <c r="B354" s="3">
        <v>6.431331081933479</v>
      </c>
      <c r="C354" s="3">
        <v>20.495</v>
      </c>
      <c r="D354" s="3">
        <v>45.16666667</v>
      </c>
      <c r="E354" s="3">
        <v>2</v>
      </c>
    </row>
    <row r="355" spans="1:5">
      <c r="A355" s="3">
        <v>40</v>
      </c>
      <c r="B355" s="3">
        <v>3.713572066704308</v>
      </c>
      <c r="C355" s="3">
        <v>2.4</v>
      </c>
      <c r="D355" s="3">
        <v>84</v>
      </c>
      <c r="E355" s="3">
        <v>6.5</v>
      </c>
    </row>
    <row r="356" spans="1:5">
      <c r="A356" s="3">
        <v>120</v>
      </c>
      <c r="B356" s="3">
        <v>4.795790545596741</v>
      </c>
      <c r="C356" s="3">
        <v>6.73</v>
      </c>
      <c r="D356" s="3">
        <v>74.33333333</v>
      </c>
      <c r="E356" s="3">
        <v>3.166666667</v>
      </c>
    </row>
    <row r="357" spans="1:5">
      <c r="A357" s="3">
        <v>30</v>
      </c>
      <c r="B357" s="3">
        <v>3.433987204485146</v>
      </c>
      <c r="C357" s="3">
        <v>9.6</v>
      </c>
      <c r="D357" s="3">
        <v>93.5</v>
      </c>
      <c r="E357" s="3">
        <v>8.5</v>
      </c>
    </row>
    <row r="358" spans="1:5">
      <c r="A358" s="3">
        <v>30</v>
      </c>
      <c r="B358" s="3">
        <v>3.433987204485146</v>
      </c>
      <c r="C358" s="3">
        <v>-0.333</v>
      </c>
      <c r="D358" s="3">
        <v>79</v>
      </c>
      <c r="E358" s="3">
        <v>3.666666667</v>
      </c>
    </row>
    <row r="359" spans="1:5">
      <c r="A359" s="3">
        <v>90</v>
      </c>
      <c r="B359" s="3">
        <v>4.51085950651685</v>
      </c>
      <c r="C359" s="3">
        <v>10.1</v>
      </c>
      <c r="D359" s="3">
        <v>63.66666667</v>
      </c>
      <c r="E359" s="3">
        <v>3.666666667</v>
      </c>
    </row>
    <row r="360" spans="1:5">
      <c r="A360" s="3">
        <v>350</v>
      </c>
      <c r="B360" s="3">
        <v>5.860786223465865</v>
      </c>
      <c r="C360" s="3">
        <v>5.38</v>
      </c>
      <c r="D360" s="3">
        <v>75.33333333</v>
      </c>
      <c r="E360" s="3">
        <v>2.166666667</v>
      </c>
    </row>
    <row r="361" spans="1:5">
      <c r="A361" s="3">
        <v>150</v>
      </c>
      <c r="B361" s="3">
        <v>5.017279836814924</v>
      </c>
      <c r="C361" s="3">
        <v>14.3</v>
      </c>
      <c r="D361" s="3">
        <v>68.33333333</v>
      </c>
      <c r="E361" s="3">
        <v>3.333333333</v>
      </c>
    </row>
    <row r="362" spans="1:5">
      <c r="A362" s="3">
        <v>30</v>
      </c>
      <c r="B362" s="3">
        <v>3.433987204485146</v>
      </c>
      <c r="C362" s="3">
        <v>-1.25</v>
      </c>
      <c r="D362" s="3">
        <v>97.33333333</v>
      </c>
      <c r="E362" s="3">
        <v>1.833333333</v>
      </c>
    </row>
    <row r="363" spans="1:5">
      <c r="A363" s="3">
        <v>50</v>
      </c>
      <c r="B363" s="3">
        <v>3.931825632724326</v>
      </c>
      <c r="C363" s="3">
        <v>-0.4</v>
      </c>
      <c r="D363" s="3">
        <v>91.5</v>
      </c>
      <c r="E363" s="3">
        <v>1</v>
      </c>
    </row>
    <row r="364" spans="1:5">
      <c r="A364" s="3">
        <v>50</v>
      </c>
      <c r="B364" s="3">
        <v>3.931825632724326</v>
      </c>
      <c r="C364" s="3">
        <v>2.1</v>
      </c>
      <c r="D364" s="3">
        <v>84.66666667</v>
      </c>
      <c r="E364" s="3">
        <v>7.333333333</v>
      </c>
    </row>
    <row r="365" spans="1:5">
      <c r="A365" s="3">
        <v>70</v>
      </c>
      <c r="B365" s="3">
        <v>4.262679877041315</v>
      </c>
      <c r="C365" s="3">
        <v>7.73</v>
      </c>
      <c r="D365" s="3">
        <v>69.66666667</v>
      </c>
      <c r="E365" s="3">
        <v>10.75</v>
      </c>
    </row>
    <row r="366" spans="1:5">
      <c r="A366" s="3">
        <v>50</v>
      </c>
      <c r="B366" s="3">
        <v>3.931825632724326</v>
      </c>
      <c r="C366" s="3">
        <v>4.8</v>
      </c>
      <c r="D366" s="3">
        <v>93</v>
      </c>
      <c r="E366" s="3">
        <v>7</v>
      </c>
    </row>
    <row r="367" spans="1:5">
      <c r="A367" s="3">
        <v>60</v>
      </c>
      <c r="B367" s="3">
        <v>4.110873864173311</v>
      </c>
      <c r="C367" s="3">
        <v>5.37</v>
      </c>
      <c r="D367" s="3">
        <v>79.66666667</v>
      </c>
      <c r="E367" s="3">
        <v>2</v>
      </c>
    </row>
    <row r="368" spans="1:5">
      <c r="A368" s="3">
        <v>110</v>
      </c>
      <c r="B368" s="3">
        <v>4.709530201312334</v>
      </c>
      <c r="C368" s="3">
        <v>12</v>
      </c>
      <c r="D368" s="3">
        <v>49.5</v>
      </c>
      <c r="E368" s="3">
        <v>7</v>
      </c>
    </row>
    <row r="369" spans="1:5">
      <c r="A369" s="3">
        <v>70</v>
      </c>
      <c r="B369" s="3">
        <v>4.262679877041315</v>
      </c>
      <c r="C369" s="3">
        <v>-4.37</v>
      </c>
      <c r="D369" s="3">
        <v>89.66666667</v>
      </c>
      <c r="E369" s="3">
        <v>1</v>
      </c>
    </row>
    <row r="370" spans="1:5">
      <c r="A370" s="3">
        <v>90</v>
      </c>
      <c r="B370" s="3">
        <v>4.51085950651685</v>
      </c>
      <c r="C370" s="3">
        <v>4.5</v>
      </c>
      <c r="D370" s="3">
        <v>91</v>
      </c>
      <c r="E370" s="3">
        <v>4</v>
      </c>
    </row>
    <row r="371" spans="1:5">
      <c r="A371" s="3">
        <v>30</v>
      </c>
      <c r="B371" s="3">
        <v>3.433987204485146</v>
      </c>
      <c r="C371" s="3">
        <v>1.2</v>
      </c>
      <c r="D371" s="3">
        <v>96.83333333</v>
      </c>
      <c r="E371" s="3">
        <v>1</v>
      </c>
    </row>
    <row r="372" spans="1:5">
      <c r="A372" s="3">
        <v>40</v>
      </c>
      <c r="B372" s="3">
        <v>3.713572066704308</v>
      </c>
      <c r="C372" s="3">
        <v>1.3</v>
      </c>
      <c r="D372" s="3">
        <v>91</v>
      </c>
      <c r="E372" s="3">
        <v>2</v>
      </c>
    </row>
    <row r="373" spans="1:5">
      <c r="A373" s="3">
        <v>50</v>
      </c>
      <c r="B373" s="3">
        <v>3.931825632724326</v>
      </c>
      <c r="C373" s="3">
        <v>5.25</v>
      </c>
      <c r="D373" s="3">
        <v>75.5</v>
      </c>
      <c r="E373" s="3">
        <v>7</v>
      </c>
    </row>
    <row r="374" spans="1:5">
      <c r="A374" s="3">
        <v>80</v>
      </c>
      <c r="B374" s="3">
        <v>4.394449154672439</v>
      </c>
      <c r="C374" s="3">
        <v>6.9</v>
      </c>
      <c r="D374" s="3">
        <v>72.66666667</v>
      </c>
      <c r="E374" s="3">
        <v>4</v>
      </c>
    </row>
    <row r="375" spans="1:5">
      <c r="A375" s="3">
        <v>80</v>
      </c>
      <c r="B375" s="3">
        <v>4.394449154672439</v>
      </c>
      <c r="C375" s="3">
        <v>-0.4</v>
      </c>
      <c r="D375" s="3">
        <v>83</v>
      </c>
      <c r="E375" s="3">
        <v>2</v>
      </c>
    </row>
    <row r="376" spans="1:5">
      <c r="A376" s="3">
        <v>40</v>
      </c>
      <c r="B376" s="3">
        <v>3.713572066704308</v>
      </c>
      <c r="C376" s="3">
        <v>9.529999999999999</v>
      </c>
      <c r="D376" s="3">
        <v>69</v>
      </c>
      <c r="E376" s="3">
        <v>1</v>
      </c>
    </row>
    <row r="377" spans="1:5">
      <c r="A377" s="3">
        <v>100</v>
      </c>
      <c r="B377" s="3">
        <v>4.61512051684126</v>
      </c>
      <c r="C377" s="3">
        <v>1.88</v>
      </c>
      <c r="D377" s="3">
        <v>89.83333333</v>
      </c>
      <c r="E377" s="3">
        <v>1</v>
      </c>
    </row>
    <row r="378" spans="1:5">
      <c r="A378" s="3">
        <v>40</v>
      </c>
      <c r="B378" s="3">
        <v>3.713572066704308</v>
      </c>
      <c r="C378" s="3">
        <v>10</v>
      </c>
      <c r="D378" s="3">
        <v>90.5</v>
      </c>
      <c r="E378" s="3">
        <v>9</v>
      </c>
    </row>
    <row r="379" spans="1:5">
      <c r="A379" s="3">
        <v>70</v>
      </c>
      <c r="B379" s="3">
        <v>4.262679877041315</v>
      </c>
      <c r="C379" s="3">
        <v>8.65</v>
      </c>
      <c r="D379" s="3">
        <v>59.66666667</v>
      </c>
      <c r="E379" s="3">
        <v>6</v>
      </c>
    </row>
    <row r="380" spans="1:5">
      <c r="A380" s="3">
        <v>50</v>
      </c>
      <c r="B380" s="3">
        <v>3.931825632724326</v>
      </c>
      <c r="C380" s="3">
        <v>12.2</v>
      </c>
      <c r="D380" s="3">
        <v>85.33333333</v>
      </c>
      <c r="E380" s="3">
        <v>1.333333333</v>
      </c>
    </row>
    <row r="381" spans="1:5">
      <c r="A381" s="3">
        <v>40</v>
      </c>
      <c r="B381" s="3">
        <v>3.713572066704308</v>
      </c>
      <c r="C381" s="3">
        <v>6.3</v>
      </c>
      <c r="D381" s="3">
        <v>82.66666667</v>
      </c>
      <c r="E381" s="3">
        <v>1.666666667</v>
      </c>
    </row>
    <row r="382" spans="1:5">
      <c r="A382" s="3">
        <v>70</v>
      </c>
      <c r="B382" s="3">
        <v>4.262679877041315</v>
      </c>
      <c r="C382" s="3">
        <v>12.4</v>
      </c>
      <c r="D382" s="3">
        <v>70</v>
      </c>
      <c r="E382" s="3">
        <v>4</v>
      </c>
    </row>
    <row r="383" spans="1:5">
      <c r="A383" s="3">
        <v>290</v>
      </c>
      <c r="B383" s="3">
        <v>5.673323267171493</v>
      </c>
      <c r="C383" s="3">
        <v>7.85</v>
      </c>
      <c r="D383" s="3">
        <v>78.83333333</v>
      </c>
      <c r="E383" s="3">
        <v>1</v>
      </c>
    </row>
    <row r="384" spans="1:5">
      <c r="A384" s="3">
        <v>250</v>
      </c>
      <c r="B384" s="3">
        <v>5.525452939131783</v>
      </c>
      <c r="C384" s="3">
        <v>20.495</v>
      </c>
      <c r="D384" s="3">
        <v>59.5</v>
      </c>
      <c r="E384" s="3">
        <v>1.5</v>
      </c>
    </row>
    <row r="385" spans="1:5">
      <c r="A385" s="3">
        <v>390</v>
      </c>
      <c r="B385" s="3">
        <v>5.968707559985366</v>
      </c>
      <c r="C385" s="3">
        <v>0.2</v>
      </c>
      <c r="D385" s="3">
        <v>96.5</v>
      </c>
      <c r="E385" s="3">
        <v>1.166666667</v>
      </c>
    </row>
    <row r="386" spans="1:5">
      <c r="A386" s="3">
        <v>30</v>
      </c>
      <c r="B386" s="3">
        <v>3.433987204485146</v>
      </c>
      <c r="C386" s="3">
        <v>9.65</v>
      </c>
      <c r="D386" s="3">
        <v>77.33333333</v>
      </c>
      <c r="E386" s="3">
        <v>9</v>
      </c>
    </row>
    <row r="387" spans="1:5">
      <c r="A387" s="3">
        <v>70</v>
      </c>
      <c r="B387" s="3">
        <v>4.262679877041315</v>
      </c>
      <c r="C387" s="3">
        <v>4.25</v>
      </c>
      <c r="D387" s="3">
        <v>87</v>
      </c>
      <c r="E387" s="3">
        <v>1.5</v>
      </c>
    </row>
    <row r="388" spans="1:5">
      <c r="A388" s="3">
        <v>60</v>
      </c>
      <c r="B388" s="3">
        <v>4.110873864173311</v>
      </c>
      <c r="C388" s="3">
        <v>17.2</v>
      </c>
      <c r="D388" s="3">
        <v>80</v>
      </c>
      <c r="E388" s="3">
        <v>1</v>
      </c>
    </row>
    <row r="389" spans="1:5">
      <c r="A389" s="3">
        <v>120</v>
      </c>
      <c r="B389" s="3">
        <v>4.795790545596741</v>
      </c>
      <c r="C389" s="3">
        <v>0.8</v>
      </c>
      <c r="D389" s="3">
        <v>92</v>
      </c>
      <c r="E389" s="3">
        <v>1</v>
      </c>
    </row>
    <row r="390" spans="1:5">
      <c r="A390" s="3">
        <v>50</v>
      </c>
      <c r="B390" s="3">
        <v>3.931825632724326</v>
      </c>
      <c r="C390" s="3">
        <v>-1.2</v>
      </c>
      <c r="D390" s="3">
        <v>97.33333333</v>
      </c>
      <c r="E390" s="3">
        <v>1.666666667</v>
      </c>
    </row>
    <row r="391" spans="1:5">
      <c r="A391" s="3">
        <v>60</v>
      </c>
      <c r="B391" s="3">
        <v>4.110873864173311</v>
      </c>
      <c r="C391" s="3">
        <v>13.9</v>
      </c>
      <c r="D391" s="3">
        <v>74</v>
      </c>
      <c r="E391" s="3">
        <v>7</v>
      </c>
    </row>
    <row r="392" spans="1:5">
      <c r="A392" s="3">
        <v>60</v>
      </c>
      <c r="B392" s="3">
        <v>4.110873864173311</v>
      </c>
      <c r="C392" s="3">
        <v>15.4</v>
      </c>
      <c r="D392" s="3">
        <v>92</v>
      </c>
      <c r="E392" s="3">
        <v>3</v>
      </c>
    </row>
    <row r="393" spans="1:5">
      <c r="A393" s="3">
        <v>60</v>
      </c>
      <c r="B393" s="3">
        <v>4.110873864173311</v>
      </c>
      <c r="C393" s="3">
        <v>8.33</v>
      </c>
      <c r="D393" s="3">
        <v>68.33333333</v>
      </c>
      <c r="E393" s="3">
        <v>3.666666667</v>
      </c>
    </row>
    <row r="394" spans="1:5">
      <c r="A394" s="3">
        <v>70</v>
      </c>
      <c r="B394" s="3">
        <v>4.262679877041315</v>
      </c>
      <c r="C394" s="3">
        <v>1.4</v>
      </c>
      <c r="D394" s="3">
        <v>97.5</v>
      </c>
      <c r="E394" s="3">
        <v>3.5</v>
      </c>
    </row>
    <row r="395" spans="1:5">
      <c r="A395" s="3">
        <v>230</v>
      </c>
      <c r="B395" s="3">
        <v>5.442417710521793</v>
      </c>
      <c r="C395" s="3">
        <v>3.92</v>
      </c>
      <c r="D395" s="3">
        <v>88.66666667</v>
      </c>
      <c r="E395" s="3">
        <v>3.833333333</v>
      </c>
    </row>
    <row r="396" spans="1:5">
      <c r="A396" s="3">
        <v>160</v>
      </c>
      <c r="B396" s="3">
        <v>5.081404364984463</v>
      </c>
      <c r="C396" s="3">
        <v>8.43</v>
      </c>
      <c r="D396" s="3">
        <v>75.5</v>
      </c>
      <c r="E396" s="3">
        <v>4</v>
      </c>
    </row>
    <row r="397" spans="1:5">
      <c r="A397" s="3">
        <v>90</v>
      </c>
      <c r="B397" s="3">
        <v>4.51085950651685</v>
      </c>
      <c r="C397" s="3">
        <v>4.5</v>
      </c>
      <c r="D397" s="3">
        <v>76</v>
      </c>
      <c r="E397" s="3">
        <v>6</v>
      </c>
    </row>
    <row r="398" spans="1:5">
      <c r="A398" s="3">
        <v>90</v>
      </c>
      <c r="B398" s="3">
        <v>4.51085950651685</v>
      </c>
      <c r="C398" s="3">
        <v>5.4</v>
      </c>
      <c r="D398" s="3">
        <v>78</v>
      </c>
      <c r="E398" s="3">
        <v>9</v>
      </c>
    </row>
    <row r="399" spans="1:5">
      <c r="A399" s="3">
        <v>50</v>
      </c>
      <c r="B399" s="3">
        <v>3.931825632724326</v>
      </c>
      <c r="C399" s="3">
        <v>8.5</v>
      </c>
      <c r="D399" s="3">
        <v>84</v>
      </c>
      <c r="E399" s="3">
        <v>7</v>
      </c>
    </row>
    <row r="400" spans="1:5">
      <c r="A400" s="3">
        <v>330</v>
      </c>
      <c r="B400" s="3">
        <v>5.802118375377063</v>
      </c>
      <c r="C400" s="3">
        <v>-1</v>
      </c>
      <c r="D400" s="3">
        <v>90.33333333</v>
      </c>
      <c r="E400" s="3">
        <v>2</v>
      </c>
    </row>
    <row r="401" spans="1:5">
      <c r="A401" s="3">
        <v>80</v>
      </c>
      <c r="B401" s="3">
        <v>4.394449154672439</v>
      </c>
      <c r="C401" s="3">
        <v>1.47</v>
      </c>
      <c r="D401" s="3">
        <v>79.33333333</v>
      </c>
      <c r="E401" s="3">
        <v>6.166666667</v>
      </c>
    </row>
    <row r="402" spans="1:5">
      <c r="A402" s="3">
        <v>400</v>
      </c>
      <c r="B402" s="3">
        <v>5.993961427306569</v>
      </c>
      <c r="C402" s="3">
        <v>9.300000000000001</v>
      </c>
      <c r="D402" s="3">
        <v>72.83333333</v>
      </c>
      <c r="E402" s="3">
        <v>3.166666667</v>
      </c>
    </row>
    <row r="403" spans="1:5">
      <c r="A403" s="3">
        <v>60</v>
      </c>
      <c r="B403" s="3">
        <v>4.110873864173311</v>
      </c>
      <c r="C403" s="3">
        <v>10.7</v>
      </c>
      <c r="D403" s="3">
        <v>86</v>
      </c>
      <c r="E403" s="3">
        <v>4.333333333</v>
      </c>
    </row>
    <row r="404" spans="1:5">
      <c r="A404" s="3">
        <v>100</v>
      </c>
      <c r="B404" s="3">
        <v>4.61512051684126</v>
      </c>
      <c r="C404" s="3">
        <v>20.495</v>
      </c>
      <c r="D404" s="3">
        <v>48.5</v>
      </c>
      <c r="E404" s="3">
        <v>1.5</v>
      </c>
    </row>
    <row r="405" spans="1:5">
      <c r="A405" s="3">
        <v>80</v>
      </c>
      <c r="B405" s="3">
        <v>4.394449154672439</v>
      </c>
      <c r="C405" s="3">
        <v>8.35</v>
      </c>
      <c r="D405" s="3">
        <v>77.5</v>
      </c>
      <c r="E405" s="3">
        <v>6.5</v>
      </c>
    </row>
    <row r="406" spans="1:5">
      <c r="A406" s="3">
        <v>40</v>
      </c>
      <c r="B406" s="3">
        <v>3.713572066704308</v>
      </c>
      <c r="C406" s="3">
        <v>8.25</v>
      </c>
      <c r="D406" s="3">
        <v>78.5</v>
      </c>
      <c r="E406" s="3">
        <v>2.5</v>
      </c>
    </row>
    <row r="407" spans="1:5">
      <c r="A407" s="3">
        <v>70</v>
      </c>
      <c r="B407" s="3">
        <v>4.262679877041315</v>
      </c>
      <c r="C407" s="3">
        <v>5.17</v>
      </c>
      <c r="D407" s="3">
        <v>97</v>
      </c>
      <c r="E407" s="3">
        <v>1</v>
      </c>
    </row>
    <row r="408" spans="1:5">
      <c r="A408" s="3">
        <v>90</v>
      </c>
      <c r="B408" s="3">
        <v>4.51085950651685</v>
      </c>
      <c r="C408" s="3">
        <v>10.8</v>
      </c>
      <c r="D408" s="3">
        <v>92</v>
      </c>
      <c r="E408" s="3">
        <v>9</v>
      </c>
    </row>
    <row r="409" spans="1:5">
      <c r="A409" s="3">
        <v>80</v>
      </c>
      <c r="B409" s="3">
        <v>4.394449154672439</v>
      </c>
      <c r="C409" s="3">
        <v>19</v>
      </c>
      <c r="D409" s="3">
        <v>49.5</v>
      </c>
      <c r="E409" s="3">
        <v>2.166666667</v>
      </c>
    </row>
    <row r="410" spans="1:5">
      <c r="A410" s="3">
        <v>70</v>
      </c>
      <c r="B410" s="3">
        <v>4.262679877041315</v>
      </c>
      <c r="C410" s="3">
        <v>3.68</v>
      </c>
      <c r="D410" s="3">
        <v>93.16666667</v>
      </c>
      <c r="E410" s="3">
        <v>1</v>
      </c>
    </row>
    <row r="411" spans="1:5">
      <c r="A411" s="3">
        <v>120</v>
      </c>
      <c r="B411" s="3">
        <v>4.795790545596741</v>
      </c>
      <c r="C411" s="3">
        <v>1.75</v>
      </c>
      <c r="D411" s="3">
        <v>83.5</v>
      </c>
      <c r="E411" s="3">
        <v>1.5</v>
      </c>
    </row>
    <row r="412" spans="1:5">
      <c r="A412" s="3">
        <v>80</v>
      </c>
      <c r="B412" s="3">
        <v>4.394449154672439</v>
      </c>
      <c r="C412" s="3">
        <v>2.5</v>
      </c>
      <c r="D412" s="3">
        <v>96</v>
      </c>
      <c r="E412" s="3">
        <v>1.5</v>
      </c>
    </row>
    <row r="413" spans="1:5">
      <c r="A413" s="3">
        <v>70</v>
      </c>
      <c r="B413" s="3">
        <v>4.262679877041315</v>
      </c>
      <c r="C413" s="3">
        <v>1.15</v>
      </c>
      <c r="D413" s="3">
        <v>96</v>
      </c>
      <c r="E413" s="3">
        <v>2.5</v>
      </c>
    </row>
    <row r="414" spans="1:5">
      <c r="A414" s="3">
        <v>70</v>
      </c>
      <c r="B414" s="3">
        <v>4.262679877041315</v>
      </c>
      <c r="C414" s="3">
        <v>9.199999999999999</v>
      </c>
      <c r="D414" s="3">
        <v>91.66666667</v>
      </c>
      <c r="E414" s="3">
        <v>5.666666667</v>
      </c>
    </row>
    <row r="415" spans="1:5">
      <c r="A415" s="3">
        <v>430</v>
      </c>
      <c r="B415" s="3">
        <v>6.066108090103747</v>
      </c>
      <c r="C415" s="3">
        <v>6.67</v>
      </c>
      <c r="D415" s="3">
        <v>74</v>
      </c>
      <c r="E415" s="3">
        <v>6</v>
      </c>
    </row>
    <row r="416" spans="1:5">
      <c r="A416" s="3">
        <v>50</v>
      </c>
      <c r="B416" s="3">
        <v>3.931825632724326</v>
      </c>
      <c r="C416" s="3">
        <v>7.9</v>
      </c>
      <c r="D416" s="3">
        <v>70</v>
      </c>
      <c r="E416" s="3">
        <v>2</v>
      </c>
    </row>
    <row r="417" spans="1:5">
      <c r="A417" s="3">
        <v>60</v>
      </c>
      <c r="B417" s="3">
        <v>4.110873864173311</v>
      </c>
      <c r="C417" s="3">
        <v>10.7</v>
      </c>
      <c r="D417" s="3">
        <v>73</v>
      </c>
      <c r="E417" s="3">
        <v>2.666666667</v>
      </c>
    </row>
    <row r="418" spans="1:5">
      <c r="A418" s="3">
        <v>60</v>
      </c>
      <c r="B418" s="3">
        <v>4.110873864173311</v>
      </c>
      <c r="C418" s="3">
        <v>6.6</v>
      </c>
      <c r="D418" s="3">
        <v>66</v>
      </c>
      <c r="E418" s="3">
        <v>7</v>
      </c>
    </row>
    <row r="419" spans="1:5">
      <c r="A419" s="3">
        <v>20</v>
      </c>
      <c r="B419" s="3">
        <v>3.044522437723423</v>
      </c>
      <c r="C419" s="3">
        <v>5.03</v>
      </c>
      <c r="D419" s="3">
        <v>90</v>
      </c>
      <c r="E419" s="3">
        <v>7.166666667</v>
      </c>
    </row>
    <row r="420" spans="1:5">
      <c r="A420" s="3">
        <v>50</v>
      </c>
      <c r="B420" s="3">
        <v>3.931825632724326</v>
      </c>
      <c r="C420" s="3">
        <v>5.43</v>
      </c>
      <c r="D420" s="3">
        <v>80.66666667</v>
      </c>
      <c r="E420" s="3">
        <v>6</v>
      </c>
    </row>
    <row r="421" spans="1:5">
      <c r="A421" s="3">
        <v>90</v>
      </c>
      <c r="B421" s="3">
        <v>4.51085950651685</v>
      </c>
      <c r="C421" s="3">
        <v>3.2</v>
      </c>
      <c r="D421" s="3">
        <v>84</v>
      </c>
      <c r="E421" s="3">
        <v>5</v>
      </c>
    </row>
    <row r="422" spans="1:5">
      <c r="A422" s="3">
        <v>90</v>
      </c>
      <c r="B422" s="3">
        <v>4.51085950651685</v>
      </c>
      <c r="C422" s="3">
        <v>16.4</v>
      </c>
      <c r="D422" s="3">
        <v>90</v>
      </c>
      <c r="E422" s="3">
        <v>2.5</v>
      </c>
    </row>
    <row r="423" spans="1:5">
      <c r="A423" s="3">
        <v>80</v>
      </c>
      <c r="B423" s="3">
        <v>4.394449154672439</v>
      </c>
      <c r="C423" s="3">
        <v>14.1</v>
      </c>
      <c r="D423" s="3">
        <v>86.16666667</v>
      </c>
      <c r="E423" s="3">
        <v>4</v>
      </c>
    </row>
    <row r="424" spans="1:5">
      <c r="A424" s="3">
        <v>50</v>
      </c>
      <c r="B424" s="3">
        <v>3.931825632724326</v>
      </c>
      <c r="C424" s="3">
        <v>11.5</v>
      </c>
      <c r="D424" s="3">
        <v>66</v>
      </c>
      <c r="E424" s="3">
        <v>1.666666667</v>
      </c>
    </row>
    <row r="425" spans="1:5">
      <c r="A425" s="3">
        <v>180</v>
      </c>
      <c r="B425" s="3">
        <v>5.198497031265826</v>
      </c>
      <c r="C425" s="3">
        <v>1.3</v>
      </c>
      <c r="D425" s="3">
        <v>87</v>
      </c>
      <c r="E425" s="3">
        <v>1</v>
      </c>
    </row>
    <row r="426" spans="1:5">
      <c r="A426" s="3">
        <v>50</v>
      </c>
      <c r="B426" s="3">
        <v>3.931825632724326</v>
      </c>
      <c r="C426" s="3">
        <v>5.4</v>
      </c>
      <c r="D426" s="3">
        <v>89</v>
      </c>
      <c r="E426" s="3">
        <v>8</v>
      </c>
    </row>
    <row r="427" spans="1:5">
      <c r="A427" s="3">
        <v>50</v>
      </c>
      <c r="B427" s="3">
        <v>3.931825632724326</v>
      </c>
      <c r="C427" s="3">
        <v>3.3</v>
      </c>
      <c r="D427" s="3">
        <v>93</v>
      </c>
      <c r="E427" s="3">
        <v>5</v>
      </c>
    </row>
    <row r="428" spans="1:5">
      <c r="A428" s="3">
        <v>50</v>
      </c>
      <c r="B428" s="3">
        <v>3.931825632724326</v>
      </c>
      <c r="C428" s="3">
        <v>20.495</v>
      </c>
      <c r="D428" s="3">
        <v>38.33333332000001</v>
      </c>
      <c r="E428" s="3">
        <v>6.333333333</v>
      </c>
    </row>
    <row r="429" spans="1:5">
      <c r="A429" s="3">
        <v>650</v>
      </c>
      <c r="B429" s="3">
        <v>6.478509642208569</v>
      </c>
      <c r="C429" s="3">
        <v>5.7</v>
      </c>
      <c r="D429" s="3">
        <v>77.33333333</v>
      </c>
      <c r="E429" s="3">
        <v>3.333333333</v>
      </c>
    </row>
    <row r="430" spans="1:5">
      <c r="A430" s="3">
        <v>90</v>
      </c>
      <c r="B430" s="3">
        <v>4.51085950651685</v>
      </c>
      <c r="C430" s="3">
        <v>5.83</v>
      </c>
      <c r="D430" s="3">
        <v>74.5</v>
      </c>
      <c r="E430" s="3">
        <v>2</v>
      </c>
    </row>
    <row r="431" spans="1:5">
      <c r="A431" s="3">
        <v>90</v>
      </c>
      <c r="B431" s="3">
        <v>4.51085950651685</v>
      </c>
      <c r="C431" s="3">
        <v>6.1</v>
      </c>
      <c r="D431" s="3">
        <v>76</v>
      </c>
      <c r="E431" s="3">
        <v>1</v>
      </c>
    </row>
    <row r="432" spans="1:5">
      <c r="A432" s="3">
        <v>20</v>
      </c>
      <c r="B432" s="3">
        <v>3.044522437723423</v>
      </c>
      <c r="C432" s="3">
        <v>2.83</v>
      </c>
      <c r="D432" s="3">
        <v>88.66666667</v>
      </c>
      <c r="E432" s="3">
        <v>4.333333333</v>
      </c>
    </row>
    <row r="433" spans="1:5">
      <c r="A433" s="3">
        <v>50</v>
      </c>
      <c r="B433" s="3">
        <v>3.931825632724326</v>
      </c>
      <c r="C433" s="3">
        <v>2.03</v>
      </c>
      <c r="D433" s="3">
        <v>81</v>
      </c>
      <c r="E433" s="3">
        <v>2.666666667</v>
      </c>
    </row>
    <row r="434" spans="1:5">
      <c r="A434" s="3">
        <v>80</v>
      </c>
      <c r="B434" s="3">
        <v>4.394449154672439</v>
      </c>
      <c r="C434" s="3">
        <v>6.07</v>
      </c>
      <c r="D434" s="3">
        <v>73.33333333</v>
      </c>
      <c r="E434" s="3">
        <v>3.666666667</v>
      </c>
    </row>
    <row r="435" spans="1:5">
      <c r="A435" s="3">
        <v>30</v>
      </c>
      <c r="B435" s="3">
        <v>3.433987204485146</v>
      </c>
      <c r="C435" s="3">
        <v>4.4</v>
      </c>
      <c r="D435" s="3">
        <v>93</v>
      </c>
      <c r="E435" s="3">
        <v>3</v>
      </c>
    </row>
    <row r="436" spans="1:5">
      <c r="A436" s="3">
        <v>60</v>
      </c>
      <c r="B436" s="3">
        <v>4.110873864173311</v>
      </c>
      <c r="C436" s="3">
        <v>2.6</v>
      </c>
      <c r="D436" s="3">
        <v>96</v>
      </c>
      <c r="E436" s="3">
        <v>2</v>
      </c>
    </row>
    <row r="437" spans="1:5">
      <c r="A437" s="3">
        <v>210</v>
      </c>
      <c r="B437" s="3">
        <v>5.351858133476067</v>
      </c>
      <c r="C437" s="3">
        <v>4.1</v>
      </c>
      <c r="D437" s="3">
        <v>77</v>
      </c>
      <c r="E437" s="3">
        <v>1</v>
      </c>
    </row>
    <row r="438" spans="1:5">
      <c r="A438" s="3">
        <v>60</v>
      </c>
      <c r="B438" s="3">
        <v>4.110873864173311</v>
      </c>
      <c r="C438" s="3">
        <v>9.1</v>
      </c>
      <c r="D438" s="3">
        <v>79</v>
      </c>
      <c r="E438" s="3">
        <v>4</v>
      </c>
    </row>
    <row r="439" spans="1:5">
      <c r="A439" s="3">
        <v>30</v>
      </c>
      <c r="B439" s="3">
        <v>3.433987204485146</v>
      </c>
      <c r="C439" s="3">
        <v>8.470000000000001</v>
      </c>
      <c r="D439" s="3">
        <v>84.16666667</v>
      </c>
      <c r="E439" s="3">
        <v>10</v>
      </c>
    </row>
    <row r="440" spans="1:5">
      <c r="A440" s="3">
        <v>60</v>
      </c>
      <c r="B440" s="3">
        <v>4.110873864173311</v>
      </c>
      <c r="C440" s="3">
        <v>3.83</v>
      </c>
      <c r="D440" s="3">
        <v>90.66666667</v>
      </c>
      <c r="E440" s="3">
        <v>2.666666667</v>
      </c>
    </row>
    <row r="441" spans="1:5">
      <c r="A441" s="3">
        <v>70</v>
      </c>
      <c r="B441" s="3">
        <v>4.262679877041315</v>
      </c>
      <c r="C441" s="3">
        <v>1.6</v>
      </c>
      <c r="D441" s="3">
        <v>96.33333333</v>
      </c>
      <c r="E441" s="3">
        <v>2</v>
      </c>
    </row>
    <row r="442" spans="1:5">
      <c r="A442" s="3">
        <v>100</v>
      </c>
      <c r="B442" s="3">
        <v>4.61512051684126</v>
      </c>
      <c r="C442" s="3">
        <v>2.93</v>
      </c>
      <c r="D442" s="3">
        <v>92</v>
      </c>
      <c r="E442" s="3">
        <v>5</v>
      </c>
    </row>
    <row r="443" spans="1:5">
      <c r="A443" s="3">
        <v>110</v>
      </c>
      <c r="B443" s="3">
        <v>4.709530201312334</v>
      </c>
      <c r="C443" s="3">
        <v>11.6</v>
      </c>
      <c r="D443" s="3">
        <v>88.33333333</v>
      </c>
      <c r="E443" s="3">
        <v>10</v>
      </c>
    </row>
    <row r="444" spans="1:5">
      <c r="A444" s="3">
        <v>100</v>
      </c>
      <c r="B444" s="3">
        <v>4.61512051684126</v>
      </c>
      <c r="C444" s="3">
        <v>3.2</v>
      </c>
      <c r="D444" s="3">
        <v>78</v>
      </c>
      <c r="E444" s="3">
        <v>1.333333333</v>
      </c>
    </row>
    <row r="445" spans="1:5">
      <c r="A445" s="3">
        <v>140</v>
      </c>
      <c r="B445" s="3">
        <v>4.948759890378168</v>
      </c>
      <c r="C445" s="3">
        <v>7.43</v>
      </c>
      <c r="D445" s="3">
        <v>95</v>
      </c>
      <c r="E445" s="3">
        <v>4.666666667</v>
      </c>
    </row>
    <row r="446" spans="1:5">
      <c r="A446" s="3">
        <v>130</v>
      </c>
      <c r="B446" s="3">
        <v>4.875197323201151</v>
      </c>
      <c r="C446" s="3">
        <v>9.300000000000001</v>
      </c>
      <c r="D446" s="3">
        <v>66</v>
      </c>
      <c r="E446" s="3">
        <v>4</v>
      </c>
    </row>
    <row r="447" spans="1:5">
      <c r="A447" s="3">
        <v>270</v>
      </c>
      <c r="B447" s="3">
        <v>5.602118820879701</v>
      </c>
      <c r="C447" s="3">
        <v>20.495</v>
      </c>
      <c r="D447" s="3">
        <v>45</v>
      </c>
      <c r="E447" s="3">
        <v>7</v>
      </c>
    </row>
    <row r="448" spans="1:5">
      <c r="A448" s="3">
        <v>50</v>
      </c>
      <c r="B448" s="3">
        <v>3.931825632724326</v>
      </c>
      <c r="C448" s="3">
        <v>8.550000000000001</v>
      </c>
      <c r="D448" s="3">
        <v>76.5</v>
      </c>
      <c r="E448" s="3">
        <v>4</v>
      </c>
    </row>
    <row r="449" spans="1:5">
      <c r="A449" s="3">
        <v>190</v>
      </c>
      <c r="B449" s="3">
        <v>5.25227342804663</v>
      </c>
      <c r="C449" s="3">
        <v>7.08</v>
      </c>
      <c r="D449" s="3">
        <v>80.66666667</v>
      </c>
      <c r="E449" s="3">
        <v>7</v>
      </c>
    </row>
    <row r="450" spans="1:5">
      <c r="A450" s="3">
        <v>60</v>
      </c>
      <c r="B450" s="3">
        <v>4.110873864173311</v>
      </c>
      <c r="C450" s="3">
        <v>9.5</v>
      </c>
      <c r="D450" s="3">
        <v>61</v>
      </c>
      <c r="E450" s="3">
        <v>4.666666667</v>
      </c>
    </row>
    <row r="451" spans="1:5">
      <c r="A451" s="3">
        <v>40</v>
      </c>
      <c r="B451" s="3">
        <v>3.713572066704308</v>
      </c>
      <c r="C451" s="3">
        <v>4.87</v>
      </c>
      <c r="D451" s="3">
        <v>92</v>
      </c>
      <c r="E451" s="3">
        <v>4.166666667</v>
      </c>
    </row>
    <row r="452" spans="1:5">
      <c r="A452" s="3">
        <v>110</v>
      </c>
      <c r="B452" s="3">
        <v>4.709530201312334</v>
      </c>
      <c r="C452" s="3">
        <v>5.67</v>
      </c>
      <c r="D452" s="3">
        <v>83.33333333</v>
      </c>
      <c r="E452" s="3">
        <v>1</v>
      </c>
    </row>
    <row r="453" spans="1:5">
      <c r="A453" s="3">
        <v>60</v>
      </c>
      <c r="B453" s="3">
        <v>4.110873864173311</v>
      </c>
      <c r="C453" s="3">
        <v>9.77</v>
      </c>
      <c r="D453" s="3">
        <v>88</v>
      </c>
      <c r="E453" s="3">
        <v>1</v>
      </c>
    </row>
    <row r="454" spans="1:5">
      <c r="A454" s="3">
        <v>70</v>
      </c>
      <c r="B454" s="3">
        <v>4.262679877041315</v>
      </c>
      <c r="C454" s="3">
        <v>-1.55</v>
      </c>
      <c r="D454" s="3">
        <v>83.33333333</v>
      </c>
      <c r="E454" s="3">
        <v>1</v>
      </c>
    </row>
    <row r="455" spans="1:5">
      <c r="A455" s="3">
        <v>560</v>
      </c>
      <c r="B455" s="3">
        <v>6.329720905522696</v>
      </c>
      <c r="C455" s="3">
        <v>8.33</v>
      </c>
      <c r="D455" s="3">
        <v>71.66666667</v>
      </c>
      <c r="E455" s="3">
        <v>2</v>
      </c>
    </row>
    <row r="456" spans="1:5">
      <c r="A456" s="3">
        <v>40</v>
      </c>
      <c r="B456" s="3">
        <v>3.713572066704308</v>
      </c>
      <c r="C456" s="3">
        <v>6.45</v>
      </c>
      <c r="D456" s="3">
        <v>62</v>
      </c>
      <c r="E456" s="3">
        <v>3</v>
      </c>
    </row>
    <row r="457" spans="1:5">
      <c r="A457" s="3">
        <v>60</v>
      </c>
      <c r="B457" s="3">
        <v>4.110873864173311</v>
      </c>
      <c r="C457" s="3">
        <v>7.9</v>
      </c>
      <c r="D457" s="3">
        <v>84.66666667</v>
      </c>
      <c r="E457" s="3">
        <v>3</v>
      </c>
    </row>
    <row r="458" spans="1:5">
      <c r="A458" s="3">
        <v>100</v>
      </c>
      <c r="B458" s="3">
        <v>4.61512051684126</v>
      </c>
      <c r="C458" s="3">
        <v>6.37</v>
      </c>
      <c r="D458" s="3">
        <v>63.33333333</v>
      </c>
      <c r="E458" s="3">
        <v>4.333333333</v>
      </c>
    </row>
    <row r="459" spans="1:5">
      <c r="A459" s="3">
        <v>110</v>
      </c>
      <c r="B459" s="3">
        <v>4.709530201312334</v>
      </c>
      <c r="C459" s="3">
        <v>5.57</v>
      </c>
      <c r="D459" s="3">
        <v>89.33333333</v>
      </c>
      <c r="E459" s="3">
        <v>3</v>
      </c>
    </row>
    <row r="460" spans="1:5">
      <c r="A460" s="3">
        <v>70</v>
      </c>
      <c r="B460" s="3">
        <v>4.262679877041315</v>
      </c>
      <c r="C460" s="3">
        <v>20.495</v>
      </c>
      <c r="D460" s="3">
        <v>47.66666667</v>
      </c>
      <c r="E460" s="3">
        <v>3</v>
      </c>
    </row>
    <row r="461" spans="1:5">
      <c r="A461" s="3">
        <v>50</v>
      </c>
      <c r="B461" s="3">
        <v>3.931825632724326</v>
      </c>
      <c r="C461" s="3">
        <v>5.93</v>
      </c>
      <c r="D461" s="3">
        <v>45.83333333</v>
      </c>
      <c r="E461" s="3">
        <v>2</v>
      </c>
    </row>
    <row r="462" spans="1:5">
      <c r="A462" s="3">
        <v>90</v>
      </c>
      <c r="B462" s="3">
        <v>4.51085950651685</v>
      </c>
      <c r="C462" s="3">
        <v>9.630000000000001</v>
      </c>
      <c r="D462" s="3">
        <v>53.66666667</v>
      </c>
      <c r="E462" s="3">
        <v>3.333333333</v>
      </c>
    </row>
    <row r="463" spans="1:5">
      <c r="A463" s="3">
        <v>50</v>
      </c>
      <c r="B463" s="3">
        <v>3.931825632724326</v>
      </c>
      <c r="C463" s="3">
        <v>-0.333</v>
      </c>
      <c r="D463" s="3">
        <v>86.66666667</v>
      </c>
      <c r="E463" s="3">
        <v>4.666666667</v>
      </c>
    </row>
    <row r="464" spans="1:5">
      <c r="A464" s="3">
        <v>40</v>
      </c>
      <c r="B464" s="3">
        <v>3.713572066704308</v>
      </c>
      <c r="C464" s="3">
        <v>6.73</v>
      </c>
      <c r="D464" s="3">
        <v>89.66666667</v>
      </c>
      <c r="E464" s="3">
        <v>3</v>
      </c>
    </row>
    <row r="465" spans="1:5">
      <c r="A465" s="3">
        <v>60</v>
      </c>
      <c r="B465" s="3">
        <v>4.110873864173311</v>
      </c>
      <c r="C465" s="3">
        <v>-0.9330000000000001</v>
      </c>
      <c r="D465" s="3">
        <v>94</v>
      </c>
      <c r="E465" s="3">
        <v>2.666666667</v>
      </c>
    </row>
    <row r="466" spans="1:5">
      <c r="A466" s="3">
        <v>90</v>
      </c>
      <c r="B466" s="3">
        <v>4.51085950651685</v>
      </c>
      <c r="C466" s="3">
        <v>12.6</v>
      </c>
      <c r="D466" s="3">
        <v>73</v>
      </c>
      <c r="E466" s="3">
        <v>1</v>
      </c>
    </row>
    <row r="467" spans="1:5">
      <c r="A467" s="3">
        <v>50</v>
      </c>
      <c r="B467" s="3">
        <v>3.931825632724326</v>
      </c>
      <c r="C467" s="3">
        <v>9.970000000000001</v>
      </c>
      <c r="D467" s="3">
        <v>93.5</v>
      </c>
      <c r="E467" s="3">
        <v>4.666666667</v>
      </c>
    </row>
    <row r="468" spans="1:5">
      <c r="A468" s="3">
        <v>100</v>
      </c>
      <c r="B468" s="3">
        <v>4.61512051684126</v>
      </c>
      <c r="C468" s="3">
        <v>13.2</v>
      </c>
      <c r="D468" s="3">
        <v>73</v>
      </c>
      <c r="E468" s="3">
        <v>7</v>
      </c>
    </row>
    <row r="469" spans="1:5">
      <c r="A469" s="3">
        <v>90</v>
      </c>
      <c r="B469" s="3">
        <v>4.51085950651685</v>
      </c>
      <c r="C469" s="3">
        <v>5.2</v>
      </c>
      <c r="D469" s="3">
        <v>91</v>
      </c>
      <c r="E469" s="3">
        <v>1</v>
      </c>
    </row>
    <row r="470" spans="1:5">
      <c r="A470" s="3">
        <v>60</v>
      </c>
      <c r="B470" s="3">
        <v>4.110873864173311</v>
      </c>
      <c r="C470" s="3">
        <v>3.23</v>
      </c>
      <c r="D470" s="3">
        <v>79.33333333</v>
      </c>
      <c r="E470" s="3">
        <v>1.333333333</v>
      </c>
    </row>
    <row r="471" spans="1:5">
      <c r="A471" s="3">
        <v>80</v>
      </c>
      <c r="B471" s="3">
        <v>4.394449154672439</v>
      </c>
      <c r="C471" s="3">
        <v>20.495</v>
      </c>
      <c r="D471" s="3">
        <v>38.33333332000001</v>
      </c>
      <c r="E471" s="3">
        <v>4.5</v>
      </c>
    </row>
    <row r="472" spans="1:5">
      <c r="A472" s="3">
        <v>60</v>
      </c>
      <c r="B472" s="3">
        <v>4.110873864173311</v>
      </c>
      <c r="C472" s="3">
        <v>11.1</v>
      </c>
      <c r="D472" s="3">
        <v>57</v>
      </c>
      <c r="E472" s="3">
        <v>8</v>
      </c>
    </row>
    <row r="473" spans="1:5">
      <c r="A473" s="3">
        <v>40</v>
      </c>
      <c r="B473" s="3">
        <v>3.713572066704308</v>
      </c>
      <c r="C473" s="3">
        <v>-1.27</v>
      </c>
      <c r="D473" s="3">
        <v>90.66666667</v>
      </c>
      <c r="E473" s="3">
        <v>1.666666667</v>
      </c>
    </row>
    <row r="474" spans="1:5">
      <c r="A474" s="3">
        <v>60</v>
      </c>
      <c r="B474" s="3">
        <v>4.110873864173311</v>
      </c>
      <c r="C474" s="3">
        <v>12.2</v>
      </c>
      <c r="D474" s="3">
        <v>58.66666667</v>
      </c>
      <c r="E474" s="3">
        <v>5.666666667</v>
      </c>
    </row>
    <row r="475" spans="1:5">
      <c r="A475" s="3">
        <v>60</v>
      </c>
      <c r="B475" s="3">
        <v>4.110873864173311</v>
      </c>
      <c r="C475" s="3">
        <v>4</v>
      </c>
      <c r="D475" s="3">
        <v>93.5</v>
      </c>
      <c r="E475" s="3">
        <v>6</v>
      </c>
    </row>
    <row r="476" spans="1:5">
      <c r="A476" s="3">
        <v>30</v>
      </c>
      <c r="B476" s="3">
        <v>3.433987204485146</v>
      </c>
      <c r="C476" s="3">
        <v>5.37</v>
      </c>
      <c r="D476" s="3">
        <v>89.16666667</v>
      </c>
      <c r="E476" s="3">
        <v>2</v>
      </c>
    </row>
    <row r="477" spans="1:5">
      <c r="A477" s="3">
        <v>40</v>
      </c>
      <c r="B477" s="3">
        <v>3.713572066704308</v>
      </c>
      <c r="C477" s="3">
        <v>-2.83</v>
      </c>
      <c r="D477" s="3">
        <v>84.33333333</v>
      </c>
      <c r="E477" s="3">
        <v>1</v>
      </c>
    </row>
    <row r="478" spans="1:5">
      <c r="A478" s="3">
        <v>60</v>
      </c>
      <c r="B478" s="3">
        <v>4.110873864173311</v>
      </c>
      <c r="C478" s="3">
        <v>16.6</v>
      </c>
      <c r="D478" s="3">
        <v>74.66666667</v>
      </c>
      <c r="E478" s="3">
        <v>3</v>
      </c>
    </row>
    <row r="479" spans="1:5">
      <c r="A479" s="3">
        <v>60</v>
      </c>
      <c r="B479" s="3">
        <v>4.110873864173311</v>
      </c>
      <c r="C479" s="3">
        <v>-0.25</v>
      </c>
      <c r="D479" s="3">
        <v>91.16666667</v>
      </c>
      <c r="E479" s="3">
        <v>2</v>
      </c>
    </row>
    <row r="480" spans="1:5">
      <c r="A480" s="3">
        <v>110</v>
      </c>
      <c r="B480" s="3">
        <v>4.709530201312334</v>
      </c>
      <c r="C480" s="3">
        <v>2.2</v>
      </c>
      <c r="D480" s="3">
        <v>87.66666667</v>
      </c>
      <c r="E480" s="3">
        <v>5.666666667</v>
      </c>
    </row>
    <row r="481" spans="1:5">
      <c r="A481" s="3">
        <v>50</v>
      </c>
      <c r="B481" s="3">
        <v>3.931825632724326</v>
      </c>
      <c r="C481" s="3">
        <v>1.3</v>
      </c>
      <c r="D481" s="3">
        <v>98</v>
      </c>
      <c r="E481" s="3">
        <v>3</v>
      </c>
    </row>
    <row r="482" spans="1:5">
      <c r="A482" s="3">
        <v>20</v>
      </c>
      <c r="B482" s="3">
        <v>3.044522437723423</v>
      </c>
      <c r="C482" s="3">
        <v>7.1</v>
      </c>
      <c r="D482" s="3">
        <v>69.5</v>
      </c>
      <c r="E482" s="3">
        <v>2</v>
      </c>
    </row>
    <row r="483" spans="1:5">
      <c r="A483" s="3">
        <v>60</v>
      </c>
      <c r="B483" s="3">
        <v>4.110873864173311</v>
      </c>
      <c r="C483" s="3">
        <v>10.3</v>
      </c>
      <c r="D483" s="3">
        <v>84</v>
      </c>
      <c r="E483" s="3">
        <v>1</v>
      </c>
    </row>
    <row r="484" spans="1:5">
      <c r="A484" s="3">
        <v>70</v>
      </c>
      <c r="B484" s="3">
        <v>4.262679877041315</v>
      </c>
      <c r="C484" s="3">
        <v>3.05</v>
      </c>
      <c r="D484" s="3">
        <v>93</v>
      </c>
      <c r="E484" s="3">
        <v>1.5</v>
      </c>
    </row>
    <row r="485" spans="1:5">
      <c r="A485" s="3">
        <v>60</v>
      </c>
      <c r="B485" s="3">
        <v>4.110873864173311</v>
      </c>
      <c r="C485" s="3">
        <v>4.6</v>
      </c>
      <c r="D485" s="3">
        <v>84.66666667</v>
      </c>
      <c r="E485" s="3">
        <v>2</v>
      </c>
    </row>
    <row r="486" spans="1:5">
      <c r="A486" s="3">
        <v>80</v>
      </c>
      <c r="B486" s="3">
        <v>4.394449154672439</v>
      </c>
      <c r="C486" s="3">
        <v>20.495</v>
      </c>
      <c r="D486" s="3">
        <v>44.66666667</v>
      </c>
      <c r="E486" s="3">
        <v>3.833333333</v>
      </c>
    </row>
    <row r="487" spans="1:5">
      <c r="A487" s="3">
        <v>50</v>
      </c>
      <c r="B487" s="3">
        <v>3.931825632724326</v>
      </c>
      <c r="C487" s="3">
        <v>0.467</v>
      </c>
      <c r="D487" s="3">
        <v>97</v>
      </c>
      <c r="E487" s="3">
        <v>1.333333333</v>
      </c>
    </row>
    <row r="488" spans="1:5">
      <c r="A488" s="3">
        <v>20</v>
      </c>
      <c r="B488" s="3">
        <v>3.044522437723423</v>
      </c>
      <c r="C488" s="3">
        <v>6.23</v>
      </c>
      <c r="D488" s="3">
        <v>89</v>
      </c>
      <c r="E488" s="3">
        <v>4</v>
      </c>
    </row>
    <row r="489" spans="1:5">
      <c r="A489" s="3">
        <v>70</v>
      </c>
      <c r="B489" s="3">
        <v>4.262679877041315</v>
      </c>
      <c r="C489" s="3">
        <v>5</v>
      </c>
      <c r="D489" s="3">
        <v>65</v>
      </c>
      <c r="E489" s="3">
        <v>8</v>
      </c>
    </row>
    <row r="490" spans="1:5">
      <c r="A490" s="3">
        <v>60</v>
      </c>
      <c r="B490" s="3">
        <v>4.110873864173311</v>
      </c>
      <c r="C490" s="3">
        <v>-3.65</v>
      </c>
      <c r="D490" s="3">
        <v>90</v>
      </c>
      <c r="E490" s="3">
        <v>2</v>
      </c>
    </row>
    <row r="491" spans="1:5">
      <c r="A491" s="3">
        <v>120</v>
      </c>
      <c r="B491" s="3">
        <v>4.795790545596741</v>
      </c>
      <c r="C491" s="3">
        <v>-3.6</v>
      </c>
      <c r="D491" s="3">
        <v>91</v>
      </c>
      <c r="E491" s="3">
        <v>1</v>
      </c>
    </row>
    <row r="492" spans="1:5">
      <c r="A492" s="3">
        <v>140</v>
      </c>
      <c r="B492" s="3">
        <v>4.948759890378168</v>
      </c>
      <c r="C492" s="3">
        <v>3.35</v>
      </c>
      <c r="D492" s="3">
        <v>93</v>
      </c>
      <c r="E492" s="3">
        <v>5.5</v>
      </c>
    </row>
    <row r="493" spans="1:5">
      <c r="A493" s="3">
        <v>40</v>
      </c>
      <c r="B493" s="3">
        <v>3.713572066704308</v>
      </c>
      <c r="C493" s="3">
        <v>4.6</v>
      </c>
      <c r="D493" s="3">
        <v>96</v>
      </c>
      <c r="E493" s="3">
        <v>7.833333333</v>
      </c>
    </row>
    <row r="494" spans="1:5">
      <c r="A494" s="3">
        <v>80</v>
      </c>
      <c r="B494" s="3">
        <v>4.394449154672439</v>
      </c>
      <c r="C494" s="3">
        <v>8.93</v>
      </c>
      <c r="D494" s="3">
        <v>71.5</v>
      </c>
      <c r="E494" s="3">
        <v>6.833333333</v>
      </c>
    </row>
    <row r="495" spans="1:5">
      <c r="A495" s="3">
        <v>100</v>
      </c>
      <c r="B495" s="3">
        <v>4.61512051684126</v>
      </c>
      <c r="C495" s="3">
        <v>10.8</v>
      </c>
      <c r="D495" s="3">
        <v>69.66666667</v>
      </c>
      <c r="E495" s="3">
        <v>3.333333333</v>
      </c>
    </row>
    <row r="496" spans="1:5">
      <c r="A496" s="3">
        <v>20</v>
      </c>
      <c r="B496" s="3">
        <v>3.044522437723423</v>
      </c>
      <c r="C496" s="3">
        <v>-3</v>
      </c>
      <c r="D496" s="3">
        <v>96.5</v>
      </c>
      <c r="E496" s="3">
        <v>2</v>
      </c>
    </row>
    <row r="497" spans="1:5">
      <c r="A497" s="3">
        <v>50</v>
      </c>
      <c r="B497" s="3">
        <v>3.931825632724326</v>
      </c>
      <c r="C497" s="3">
        <v>5.63</v>
      </c>
      <c r="D497" s="3">
        <v>72.66666667</v>
      </c>
      <c r="E497" s="3">
        <v>7.666666667</v>
      </c>
    </row>
    <row r="498" spans="1:5">
      <c r="A498" s="3">
        <v>50</v>
      </c>
      <c r="B498" s="3">
        <v>3.931825632724326</v>
      </c>
      <c r="C498" s="3">
        <v>6.67</v>
      </c>
      <c r="D498" s="3">
        <v>62.16666667</v>
      </c>
      <c r="E498" s="3">
        <v>3.833333333</v>
      </c>
    </row>
    <row r="499" spans="1:5">
      <c r="A499" s="3">
        <v>40</v>
      </c>
      <c r="B499" s="3">
        <v>3.713572066704308</v>
      </c>
      <c r="C499" s="3">
        <v>9.27</v>
      </c>
      <c r="D499" s="3">
        <v>94</v>
      </c>
      <c r="E499" s="3">
        <v>4.833333333</v>
      </c>
    </row>
    <row r="500" spans="1:5">
      <c r="A500" s="3">
        <v>110</v>
      </c>
      <c r="B500" s="3">
        <v>4.709530201312334</v>
      </c>
      <c r="C500" s="3">
        <v>11.4</v>
      </c>
      <c r="D500" s="3">
        <v>76.66666667</v>
      </c>
      <c r="E500" s="3">
        <v>3.333333333</v>
      </c>
    </row>
    <row r="501" spans="1:5">
      <c r="A501" s="3">
        <v>50</v>
      </c>
      <c r="B501" s="3">
        <v>3.931825632724326</v>
      </c>
      <c r="C501" s="3">
        <v>5.37</v>
      </c>
      <c r="D501" s="3">
        <v>90.33333333</v>
      </c>
      <c r="E501" s="3">
        <v>8</v>
      </c>
    </row>
    <row r="502" spans="1:5">
      <c r="A502" s="3">
        <v>40</v>
      </c>
      <c r="B502" s="3">
        <v>3.713572066704308</v>
      </c>
      <c r="C502" s="3">
        <v>10.6</v>
      </c>
      <c r="D502" s="3">
        <v>86</v>
      </c>
      <c r="E502" s="3">
        <v>3</v>
      </c>
    </row>
    <row r="503" spans="1:5">
      <c r="A503" s="3">
        <v>50</v>
      </c>
      <c r="B503" s="3">
        <v>3.931825632724326</v>
      </c>
      <c r="C503" s="3">
        <v>5.25</v>
      </c>
      <c r="D503" s="3">
        <v>83</v>
      </c>
      <c r="E503" s="3">
        <v>4.5</v>
      </c>
    </row>
    <row r="504" spans="1:5">
      <c r="A504" s="3">
        <v>90</v>
      </c>
      <c r="B504" s="3">
        <v>4.51085950651685</v>
      </c>
      <c r="C504" s="3">
        <v>20.495</v>
      </c>
      <c r="D504" s="3">
        <v>56</v>
      </c>
      <c r="E504" s="3">
        <v>3.5</v>
      </c>
    </row>
    <row r="505" spans="1:5">
      <c r="A505" s="3">
        <v>60</v>
      </c>
      <c r="B505" s="3">
        <v>4.110873864173311</v>
      </c>
      <c r="C505" s="3">
        <v>7.1</v>
      </c>
      <c r="D505" s="3">
        <v>70.33333333</v>
      </c>
      <c r="E505" s="3">
        <v>4</v>
      </c>
    </row>
    <row r="506" spans="1:5">
      <c r="A506" s="3">
        <v>60</v>
      </c>
      <c r="B506" s="3">
        <v>4.110873864173311</v>
      </c>
      <c r="C506" s="3">
        <v>8.699999999999999</v>
      </c>
      <c r="D506" s="3">
        <v>74.33333333</v>
      </c>
      <c r="E506" s="3">
        <v>4.666666667</v>
      </c>
    </row>
    <row r="507" spans="1:5">
      <c r="A507" s="3">
        <v>240</v>
      </c>
      <c r="B507" s="3">
        <v>5.484796933490655</v>
      </c>
      <c r="C507" s="3">
        <v>4.12</v>
      </c>
      <c r="D507" s="3">
        <v>95.83333333</v>
      </c>
      <c r="E507" s="3">
        <v>7.5</v>
      </c>
    </row>
    <row r="508" spans="1:5">
      <c r="A508" s="3">
        <v>120</v>
      </c>
      <c r="B508" s="3">
        <v>4.795790545596741</v>
      </c>
      <c r="C508" s="3">
        <v>13.4</v>
      </c>
      <c r="D508" s="3">
        <v>95.66666667</v>
      </c>
      <c r="E508" s="3">
        <v>5.333333333</v>
      </c>
    </row>
    <row r="509" spans="1:5">
      <c r="A509" s="3">
        <v>70</v>
      </c>
      <c r="B509" s="3">
        <v>4.262679877041315</v>
      </c>
      <c r="C509" s="3">
        <v>9.029999999999999</v>
      </c>
      <c r="D509" s="3">
        <v>84.33333333</v>
      </c>
      <c r="E509" s="3">
        <v>1.666666667</v>
      </c>
    </row>
    <row r="510" spans="1:5">
      <c r="A510" s="3">
        <v>50</v>
      </c>
      <c r="B510" s="3">
        <v>3.931825632724326</v>
      </c>
      <c r="C510" s="3">
        <v>4.42</v>
      </c>
      <c r="D510" s="3">
        <v>95.5</v>
      </c>
      <c r="E510" s="3">
        <v>1.166666667</v>
      </c>
    </row>
    <row r="511" spans="1:5">
      <c r="A511" s="3">
        <v>110</v>
      </c>
      <c r="B511" s="3">
        <v>4.709530201312334</v>
      </c>
      <c r="C511" s="3">
        <v>3.52</v>
      </c>
      <c r="D511" s="3">
        <v>97.66666667</v>
      </c>
      <c r="E511" s="3">
        <v>1.166666667</v>
      </c>
    </row>
    <row r="512" spans="1:5">
      <c r="A512" s="3">
        <v>70</v>
      </c>
      <c r="B512" s="3">
        <v>4.262679877041315</v>
      </c>
      <c r="C512" s="3">
        <v>3.03</v>
      </c>
      <c r="D512" s="3">
        <v>94.66666667</v>
      </c>
      <c r="E512" s="3">
        <v>3.166666667</v>
      </c>
    </row>
    <row r="513" spans="1:5">
      <c r="A513" s="3">
        <v>40</v>
      </c>
      <c r="B513" s="3">
        <v>3.713572066704308</v>
      </c>
      <c r="C513" s="3">
        <v>9.4</v>
      </c>
      <c r="D513" s="3">
        <v>86</v>
      </c>
      <c r="E513" s="3">
        <v>5.666666667</v>
      </c>
    </row>
    <row r="514" spans="1:5">
      <c r="A514" s="3">
        <v>40</v>
      </c>
      <c r="B514" s="3">
        <v>3.713572066704308</v>
      </c>
      <c r="C514" s="3">
        <v>6.27</v>
      </c>
      <c r="D514" s="3">
        <v>95</v>
      </c>
      <c r="E514" s="3">
        <v>5.166666667</v>
      </c>
    </row>
    <row r="515" spans="1:5">
      <c r="A515" s="3">
        <v>90</v>
      </c>
      <c r="B515" s="3">
        <v>4.51085950651685</v>
      </c>
      <c r="C515" s="3">
        <v>14.2</v>
      </c>
      <c r="D515" s="3">
        <v>45</v>
      </c>
      <c r="E515" s="3">
        <v>2</v>
      </c>
    </row>
    <row r="516" spans="1:5">
      <c r="A516" s="3">
        <v>50</v>
      </c>
      <c r="B516" s="3">
        <v>3.931825632724326</v>
      </c>
      <c r="C516" s="3">
        <v>1.98</v>
      </c>
      <c r="D516" s="3">
        <v>95</v>
      </c>
      <c r="E516" s="3">
        <v>5.166666667</v>
      </c>
    </row>
    <row r="517" spans="1:5">
      <c r="A517" s="3">
        <v>30</v>
      </c>
      <c r="B517" s="3">
        <v>3.433987204485146</v>
      </c>
      <c r="C517" s="3">
        <v>0.05</v>
      </c>
      <c r="D517" s="3">
        <v>91.5</v>
      </c>
      <c r="E517" s="3">
        <v>1.5</v>
      </c>
    </row>
    <row r="518" spans="1:5">
      <c r="A518" s="3">
        <v>40</v>
      </c>
      <c r="B518" s="3">
        <v>3.713572066704308</v>
      </c>
      <c r="C518" s="3">
        <v>9.75</v>
      </c>
      <c r="D518" s="3">
        <v>55</v>
      </c>
      <c r="E518" s="3">
        <v>1</v>
      </c>
    </row>
    <row r="519" spans="1:5">
      <c r="A519" s="3">
        <v>50</v>
      </c>
      <c r="B519" s="3">
        <v>3.931825632724326</v>
      </c>
      <c r="C519" s="3">
        <v>3.17</v>
      </c>
      <c r="D519" s="3">
        <v>93</v>
      </c>
      <c r="E519" s="3">
        <v>5.333333333</v>
      </c>
    </row>
    <row r="520" spans="1:5">
      <c r="A520" s="3">
        <v>50</v>
      </c>
      <c r="B520" s="3">
        <v>3.931825632724326</v>
      </c>
      <c r="C520" s="3">
        <v>0.483</v>
      </c>
      <c r="D520" s="3">
        <v>96.16666667</v>
      </c>
      <c r="E520" s="3">
        <v>3</v>
      </c>
    </row>
    <row r="521" spans="1:5">
      <c r="A521" s="3">
        <v>90</v>
      </c>
      <c r="B521" s="3">
        <v>4.51085950651685</v>
      </c>
      <c r="C521" s="3">
        <v>20.495</v>
      </c>
      <c r="D521" s="3">
        <v>38.33333332000001</v>
      </c>
      <c r="E521" s="3">
        <v>5</v>
      </c>
    </row>
    <row r="522" spans="1:5">
      <c r="A522" s="3">
        <v>60</v>
      </c>
      <c r="B522" s="3">
        <v>4.110873864173311</v>
      </c>
      <c r="C522" s="3">
        <v>2.2</v>
      </c>
      <c r="D522" s="3">
        <v>95</v>
      </c>
      <c r="E522" s="3">
        <v>4</v>
      </c>
    </row>
    <row r="523" spans="1:5">
      <c r="A523" s="3">
        <v>400</v>
      </c>
      <c r="B523" s="3">
        <v>5.993961427306569</v>
      </c>
      <c r="C523" s="3">
        <v>8.77</v>
      </c>
      <c r="D523" s="3">
        <v>97</v>
      </c>
      <c r="E523" s="3">
        <v>7</v>
      </c>
    </row>
    <row r="524" spans="1:5">
      <c r="A524" s="3">
        <v>70</v>
      </c>
      <c r="B524" s="3">
        <v>4.262679877041315</v>
      </c>
      <c r="C524" s="3">
        <v>8.6</v>
      </c>
      <c r="D524" s="3">
        <v>75</v>
      </c>
      <c r="E524" s="3">
        <v>10.75</v>
      </c>
    </row>
    <row r="525" spans="1:5">
      <c r="A525" s="3">
        <v>90</v>
      </c>
      <c r="B525" s="3">
        <v>4.51085950651685</v>
      </c>
      <c r="C525" s="3">
        <v>4.43</v>
      </c>
      <c r="D525" s="3">
        <v>64</v>
      </c>
      <c r="E525" s="3">
        <v>5</v>
      </c>
    </row>
    <row r="526" spans="1:5">
      <c r="A526" s="3">
        <v>30</v>
      </c>
      <c r="B526" s="3">
        <v>3.433987204485146</v>
      </c>
      <c r="C526" s="3">
        <v>11.2</v>
      </c>
      <c r="D526" s="3">
        <v>91.5</v>
      </c>
      <c r="E526" s="3">
        <v>7.5</v>
      </c>
    </row>
    <row r="527" spans="1:5">
      <c r="A527" s="3">
        <v>50</v>
      </c>
      <c r="B527" s="3">
        <v>3.931825632724326</v>
      </c>
      <c r="C527" s="3">
        <v>12.4</v>
      </c>
      <c r="D527" s="3">
        <v>84.66666667</v>
      </c>
      <c r="E527" s="3">
        <v>1.166666667</v>
      </c>
    </row>
    <row r="528" spans="1:5">
      <c r="A528" s="3">
        <v>70</v>
      </c>
      <c r="B528" s="3">
        <v>4.262679877041315</v>
      </c>
      <c r="C528" s="3">
        <v>8.449999999999999</v>
      </c>
      <c r="D528" s="3">
        <v>82.5</v>
      </c>
      <c r="E528" s="3">
        <v>5</v>
      </c>
    </row>
    <row r="529" spans="1:5">
      <c r="A529" s="3">
        <v>70</v>
      </c>
      <c r="B529" s="3">
        <v>4.262679877041315</v>
      </c>
      <c r="C529" s="3">
        <v>0.517</v>
      </c>
      <c r="D529" s="3">
        <v>87</v>
      </c>
      <c r="E529" s="3">
        <v>1.833333333</v>
      </c>
    </row>
    <row r="530" spans="1:5">
      <c r="A530" s="3">
        <v>410</v>
      </c>
      <c r="B530" s="3">
        <v>6.018593214496234</v>
      </c>
      <c r="C530" s="3">
        <v>4.97</v>
      </c>
      <c r="D530" s="3">
        <v>77</v>
      </c>
      <c r="E530" s="3">
        <v>5.333333333</v>
      </c>
    </row>
    <row r="531" spans="1:5">
      <c r="A531" s="3">
        <v>110</v>
      </c>
      <c r="B531" s="3">
        <v>4.709530201312334</v>
      </c>
      <c r="C531" s="3">
        <v>16.2</v>
      </c>
      <c r="D531" s="3">
        <v>57</v>
      </c>
      <c r="E531" s="3">
        <v>1</v>
      </c>
    </row>
    <row r="532" spans="1:5">
      <c r="A532" s="3">
        <v>30</v>
      </c>
      <c r="B532" s="3">
        <v>3.433987204485146</v>
      </c>
      <c r="C532" s="3">
        <v>9.18</v>
      </c>
      <c r="D532" s="3">
        <v>63.66666667</v>
      </c>
      <c r="E532" s="3">
        <v>2.666666667</v>
      </c>
    </row>
    <row r="533" spans="1:5">
      <c r="A533" s="3">
        <v>80</v>
      </c>
      <c r="B533" s="3">
        <v>4.394449154672439</v>
      </c>
      <c r="C533" s="3">
        <v>9.02</v>
      </c>
      <c r="D533" s="3">
        <v>60.83333333</v>
      </c>
      <c r="E533" s="3">
        <v>5</v>
      </c>
    </row>
    <row r="534" spans="1:5">
      <c r="A534" s="3">
        <v>140</v>
      </c>
      <c r="B534" s="3">
        <v>4.948759890378168</v>
      </c>
      <c r="C534" s="3">
        <v>10.4</v>
      </c>
      <c r="D534" s="3">
        <v>94.5</v>
      </c>
      <c r="E534" s="3">
        <v>5.333333333</v>
      </c>
    </row>
    <row r="535" spans="1:5">
      <c r="A535" s="3">
        <v>120</v>
      </c>
      <c r="B535" s="3">
        <v>4.795790545596741</v>
      </c>
      <c r="C535" s="3">
        <v>2.03</v>
      </c>
      <c r="D535" s="3">
        <v>82.5</v>
      </c>
      <c r="E535" s="3">
        <v>5.666666667</v>
      </c>
    </row>
    <row r="536" spans="1:5">
      <c r="A536" s="3">
        <v>40</v>
      </c>
      <c r="B536" s="3">
        <v>3.713572066704308</v>
      </c>
      <c r="C536" s="3">
        <v>-0.8</v>
      </c>
      <c r="D536" s="3">
        <v>81</v>
      </c>
      <c r="E536" s="3">
        <v>3</v>
      </c>
    </row>
    <row r="537" spans="1:5">
      <c r="A537" s="3">
        <v>140</v>
      </c>
      <c r="B537" s="3">
        <v>4.948759890378168</v>
      </c>
      <c r="C537" s="3">
        <v>6.1</v>
      </c>
      <c r="D537" s="3">
        <v>59</v>
      </c>
      <c r="E537" s="3">
        <v>6.5</v>
      </c>
    </row>
    <row r="538" spans="1:5">
      <c r="A538" s="3">
        <v>70</v>
      </c>
      <c r="B538" s="3">
        <v>4.262679877041315</v>
      </c>
      <c r="C538" s="3">
        <v>13.3</v>
      </c>
      <c r="D538" s="3">
        <v>68.66666667</v>
      </c>
      <c r="E538" s="3">
        <v>8</v>
      </c>
    </row>
    <row r="539" spans="1:5">
      <c r="A539" s="3">
        <v>70</v>
      </c>
      <c r="B539" s="3">
        <v>4.262679877041315</v>
      </c>
      <c r="C539" s="3">
        <v>-2.93</v>
      </c>
      <c r="D539" s="3">
        <v>86.66666667</v>
      </c>
      <c r="E539" s="3">
        <v>1.666666667</v>
      </c>
    </row>
    <row r="540" spans="1:5">
      <c r="A540" s="3">
        <v>420</v>
      </c>
      <c r="B540" s="3">
        <v>6.042632833682381</v>
      </c>
      <c r="C540" s="3">
        <v>11.3</v>
      </c>
      <c r="D540" s="3">
        <v>76.33333333</v>
      </c>
      <c r="E540" s="3">
        <v>9.333333333000001</v>
      </c>
    </row>
    <row r="541" spans="1:5">
      <c r="A541" s="3">
        <v>120</v>
      </c>
      <c r="B541" s="3">
        <v>4.795790545596741</v>
      </c>
      <c r="C541" s="3">
        <v>5.37</v>
      </c>
      <c r="D541" s="3">
        <v>96.33333333</v>
      </c>
      <c r="E541" s="3">
        <v>1.333333333</v>
      </c>
    </row>
    <row r="542" spans="1:5">
      <c r="A542" s="3">
        <v>270</v>
      </c>
      <c r="B542" s="3">
        <v>5.602118820879701</v>
      </c>
      <c r="C542" s="3">
        <v>9.67</v>
      </c>
      <c r="D542" s="3">
        <v>67.16666667</v>
      </c>
      <c r="E542" s="3">
        <v>1.333333333</v>
      </c>
    </row>
    <row r="543" spans="1:5">
      <c r="A543" s="3">
        <v>90</v>
      </c>
      <c r="B543" s="3">
        <v>4.51085950651685</v>
      </c>
      <c r="C543" s="3">
        <v>10</v>
      </c>
      <c r="D543" s="3">
        <v>86.83333333</v>
      </c>
      <c r="E543" s="3">
        <v>6.666666667</v>
      </c>
    </row>
    <row r="544" spans="1:5">
      <c r="A544" s="3">
        <v>40</v>
      </c>
      <c r="B544" s="3">
        <v>3.713572066704308</v>
      </c>
      <c r="C544" s="3">
        <v>5.35</v>
      </c>
      <c r="D544" s="3">
        <v>95</v>
      </c>
      <c r="E544" s="3">
        <v>2</v>
      </c>
    </row>
    <row r="545" spans="1:5">
      <c r="A545" s="3">
        <v>50</v>
      </c>
      <c r="B545" s="3">
        <v>3.931825632724326</v>
      </c>
      <c r="C545" s="3">
        <v>9.4</v>
      </c>
      <c r="D545" s="3">
        <v>91.5</v>
      </c>
      <c r="E545" s="3">
        <v>6</v>
      </c>
    </row>
    <row r="546" spans="1:5">
      <c r="A546" s="3">
        <v>100</v>
      </c>
      <c r="B546" s="3">
        <v>4.61512051684126</v>
      </c>
      <c r="C546" s="3">
        <v>7.17</v>
      </c>
      <c r="D546" s="3">
        <v>68.33333333</v>
      </c>
      <c r="E546" s="3">
        <v>8.666666666999999</v>
      </c>
    </row>
    <row r="547" spans="1:5">
      <c r="A547" s="3">
        <v>60</v>
      </c>
      <c r="B547" s="3">
        <v>4.110873864173311</v>
      </c>
      <c r="C547" s="3">
        <v>5.9</v>
      </c>
      <c r="D547" s="3">
        <v>97</v>
      </c>
      <c r="E547" s="3">
        <v>2</v>
      </c>
    </row>
    <row r="548" spans="1:5">
      <c r="A548" s="3">
        <v>90</v>
      </c>
      <c r="B548" s="3">
        <v>4.51085950651685</v>
      </c>
      <c r="C548" s="3">
        <v>6.08</v>
      </c>
      <c r="D548" s="3">
        <v>96.16666667</v>
      </c>
      <c r="E548" s="3">
        <v>2.833333333</v>
      </c>
    </row>
    <row r="549" spans="1:5">
      <c r="A549" s="3">
        <v>40</v>
      </c>
      <c r="B549" s="3">
        <v>3.713572066704308</v>
      </c>
      <c r="C549" s="3">
        <v>3.5</v>
      </c>
      <c r="D549" s="3">
        <v>89</v>
      </c>
      <c r="E549" s="3">
        <v>5</v>
      </c>
    </row>
    <row r="550" spans="1:5">
      <c r="A550" s="3">
        <v>50</v>
      </c>
      <c r="B550" s="3">
        <v>3.931825632724326</v>
      </c>
      <c r="C550" s="3">
        <v>10</v>
      </c>
      <c r="D550" s="3">
        <v>53</v>
      </c>
      <c r="E550" s="3">
        <v>4</v>
      </c>
    </row>
    <row r="551" spans="1:5">
      <c r="A551" s="3">
        <v>60</v>
      </c>
      <c r="B551" s="3">
        <v>4.110873864173311</v>
      </c>
      <c r="C551" s="3">
        <v>14.4</v>
      </c>
      <c r="D551" s="3">
        <v>45</v>
      </c>
      <c r="E551" s="3">
        <v>3</v>
      </c>
    </row>
    <row r="552" spans="1:5">
      <c r="A552" s="3">
        <v>110</v>
      </c>
      <c r="B552" s="3">
        <v>4.709530201312334</v>
      </c>
      <c r="C552" s="3">
        <v>4.42</v>
      </c>
      <c r="D552" s="3">
        <v>73.83333333</v>
      </c>
      <c r="E552" s="3">
        <v>2.833333333</v>
      </c>
    </row>
    <row r="553" spans="1:5">
      <c r="A553" s="3">
        <v>50</v>
      </c>
      <c r="B553" s="3">
        <v>3.931825632724326</v>
      </c>
      <c r="C553" s="3">
        <v>3.92</v>
      </c>
      <c r="D553" s="3">
        <v>81.66666667</v>
      </c>
      <c r="E553" s="3">
        <v>7</v>
      </c>
    </row>
    <row r="554" spans="1:5">
      <c r="A554" s="3">
        <v>50</v>
      </c>
      <c r="B554" s="3">
        <v>3.931825632724326</v>
      </c>
      <c r="C554" s="3">
        <v>5.32</v>
      </c>
      <c r="D554" s="3">
        <v>88</v>
      </c>
      <c r="E554" s="3">
        <v>3.166666667</v>
      </c>
    </row>
    <row r="555" spans="1:5">
      <c r="A555" s="3">
        <v>50</v>
      </c>
      <c r="B555" s="3">
        <v>3.931825632724326</v>
      </c>
      <c r="C555" s="3">
        <v>3.83</v>
      </c>
      <c r="D555" s="3">
        <v>73.33333333</v>
      </c>
      <c r="E555" s="3">
        <v>6.666666667</v>
      </c>
    </row>
    <row r="556" spans="1:5">
      <c r="A556" s="3">
        <v>50</v>
      </c>
      <c r="B556" s="3">
        <v>3.931825632724326</v>
      </c>
      <c r="C556" s="3">
        <v>6.37</v>
      </c>
      <c r="D556" s="3">
        <v>88.66666667</v>
      </c>
      <c r="E556" s="3">
        <v>4.333333333</v>
      </c>
    </row>
    <row r="557" spans="1:5">
      <c r="A557" s="3">
        <v>30</v>
      </c>
      <c r="B557" s="3">
        <v>3.433987204485146</v>
      </c>
      <c r="C557" s="3">
        <v>4.08</v>
      </c>
      <c r="D557" s="3">
        <v>81.16666667</v>
      </c>
      <c r="E557" s="3">
        <v>2</v>
      </c>
    </row>
    <row r="558" spans="1:5">
      <c r="A558" s="3">
        <v>30</v>
      </c>
      <c r="B558" s="3">
        <v>3.433987204485146</v>
      </c>
      <c r="C558" s="3">
        <v>8.869999999999999</v>
      </c>
      <c r="D558" s="3">
        <v>77.33333333</v>
      </c>
      <c r="E558" s="3">
        <v>1.666666667</v>
      </c>
    </row>
    <row r="559" spans="1:5">
      <c r="A559" s="3">
        <v>50</v>
      </c>
      <c r="B559" s="3">
        <v>3.931825632724326</v>
      </c>
      <c r="C559" s="3">
        <v>20.495</v>
      </c>
      <c r="D559" s="3">
        <v>38.33333332000001</v>
      </c>
      <c r="E559" s="3">
        <v>4.5</v>
      </c>
    </row>
    <row r="560" spans="1:5">
      <c r="A560" s="3">
        <v>20</v>
      </c>
      <c r="B560" s="3">
        <v>3.044522437723423</v>
      </c>
      <c r="C560" s="3">
        <v>10.6</v>
      </c>
      <c r="D560" s="3">
        <v>94</v>
      </c>
      <c r="E560" s="3">
        <v>6</v>
      </c>
    </row>
    <row r="561" spans="1:5">
      <c r="A561" s="3">
        <v>40</v>
      </c>
      <c r="B561" s="3">
        <v>3.713572066704308</v>
      </c>
      <c r="C561" s="3">
        <v>13.5</v>
      </c>
      <c r="D561" s="3">
        <v>65.66666667</v>
      </c>
      <c r="E561" s="3">
        <v>3</v>
      </c>
    </row>
    <row r="562" spans="1:5">
      <c r="A562" s="3">
        <v>50</v>
      </c>
      <c r="B562" s="3">
        <v>3.931825632724326</v>
      </c>
      <c r="C562" s="3">
        <v>6.18</v>
      </c>
      <c r="D562" s="3">
        <v>60.83333333</v>
      </c>
      <c r="E562" s="3">
        <v>2</v>
      </c>
    </row>
    <row r="563" spans="1:5">
      <c r="A563" s="3">
        <v>260</v>
      </c>
      <c r="B563" s="3">
        <v>5.564520407322694</v>
      </c>
      <c r="C563" s="3">
        <v>3.6</v>
      </c>
      <c r="D563" s="3">
        <v>88</v>
      </c>
      <c r="E563" s="3">
        <v>6.5</v>
      </c>
    </row>
    <row r="564" spans="1:5">
      <c r="A564" s="3">
        <v>50</v>
      </c>
      <c r="B564" s="3">
        <v>3.931825632724326</v>
      </c>
      <c r="C564" s="3">
        <v>17.8</v>
      </c>
      <c r="D564" s="3">
        <v>77</v>
      </c>
      <c r="E564" s="3">
        <v>3</v>
      </c>
    </row>
    <row r="565" spans="1:5">
      <c r="A565" s="3">
        <v>190</v>
      </c>
      <c r="B565" s="3">
        <v>5.25227342804663</v>
      </c>
      <c r="C565" s="3">
        <v>1.4</v>
      </c>
      <c r="D565" s="3">
        <v>94</v>
      </c>
      <c r="E565" s="3">
        <v>1</v>
      </c>
    </row>
    <row r="566" spans="1:5">
      <c r="A566" s="3">
        <v>50</v>
      </c>
      <c r="B566" s="3">
        <v>3.931825632724326</v>
      </c>
      <c r="C566" s="3">
        <v>12.7</v>
      </c>
      <c r="D566" s="3">
        <v>61.33333333</v>
      </c>
      <c r="E566" s="3">
        <v>1</v>
      </c>
    </row>
    <row r="567" spans="1:5">
      <c r="A567" s="3">
        <v>50</v>
      </c>
      <c r="B567" s="3">
        <v>3.931825632724326</v>
      </c>
      <c r="C567" s="3">
        <v>9.9</v>
      </c>
      <c r="D567" s="3">
        <v>74.33333333</v>
      </c>
      <c r="E567" s="3">
        <v>4.333333333</v>
      </c>
    </row>
    <row r="568" spans="1:5">
      <c r="A568" s="3">
        <v>50</v>
      </c>
      <c r="B568" s="3">
        <v>3.931825632724326</v>
      </c>
      <c r="C568" s="3">
        <v>6.33</v>
      </c>
      <c r="D568" s="3">
        <v>95</v>
      </c>
      <c r="E568" s="3">
        <v>4</v>
      </c>
    </row>
    <row r="569" spans="1:5">
      <c r="A569" s="3">
        <v>50</v>
      </c>
      <c r="B569" s="3">
        <v>3.931825632724326</v>
      </c>
      <c r="C569" s="3">
        <v>5.47</v>
      </c>
      <c r="D569" s="3">
        <v>89.66666667</v>
      </c>
      <c r="E569" s="3">
        <v>2</v>
      </c>
    </row>
    <row r="570" spans="1:5">
      <c r="A570" s="3">
        <v>80</v>
      </c>
      <c r="B570" s="3">
        <v>4.394449154672439</v>
      </c>
      <c r="C570" s="3">
        <v>9.550000000000001</v>
      </c>
      <c r="D570" s="3">
        <v>87.83333333</v>
      </c>
      <c r="E570" s="3">
        <v>5</v>
      </c>
    </row>
    <row r="571" spans="1:5">
      <c r="A571" s="3">
        <v>90</v>
      </c>
      <c r="B571" s="3">
        <v>4.51085950651685</v>
      </c>
      <c r="C571" s="3">
        <v>10.2</v>
      </c>
      <c r="D571" s="3">
        <v>91.16666667</v>
      </c>
      <c r="E571" s="3">
        <v>1.833333333</v>
      </c>
    </row>
    <row r="572" spans="1:5">
      <c r="A572" s="3">
        <v>50</v>
      </c>
      <c r="B572" s="3">
        <v>3.931825632724326</v>
      </c>
      <c r="C572" s="3">
        <v>9.48</v>
      </c>
      <c r="D572" s="3">
        <v>77.33333333</v>
      </c>
      <c r="E572" s="3">
        <v>3</v>
      </c>
    </row>
    <row r="573" spans="1:5">
      <c r="A573" s="3">
        <v>60</v>
      </c>
      <c r="B573" s="3">
        <v>4.110873864173311</v>
      </c>
      <c r="C573" s="3">
        <v>6</v>
      </c>
      <c r="D573" s="3">
        <v>88</v>
      </c>
      <c r="E573" s="3">
        <v>3</v>
      </c>
    </row>
    <row r="574" spans="1:5">
      <c r="A574" s="3">
        <v>70</v>
      </c>
      <c r="B574" s="3">
        <v>4.262679877041315</v>
      </c>
      <c r="C574" s="3">
        <v>1.65</v>
      </c>
      <c r="D574" s="3">
        <v>99.5</v>
      </c>
      <c r="E574" s="3">
        <v>1</v>
      </c>
    </row>
    <row r="575" spans="1:5">
      <c r="A575" s="3">
        <v>260</v>
      </c>
      <c r="B575" s="3">
        <v>5.564520407322694</v>
      </c>
      <c r="C575" s="3">
        <v>18</v>
      </c>
      <c r="D575" s="3">
        <v>61</v>
      </c>
      <c r="E575" s="3">
        <v>1</v>
      </c>
    </row>
    <row r="576" spans="1:5">
      <c r="A576" s="3">
        <v>50</v>
      </c>
      <c r="B576" s="3">
        <v>3.931825632724326</v>
      </c>
      <c r="C576" s="3">
        <v>8.5</v>
      </c>
      <c r="D576" s="3">
        <v>88</v>
      </c>
      <c r="E576" s="3">
        <v>1</v>
      </c>
    </row>
    <row r="577" spans="1:5">
      <c r="A577" s="3">
        <v>260</v>
      </c>
      <c r="B577" s="3">
        <v>5.564520407322694</v>
      </c>
      <c r="C577" s="3">
        <v>13.9</v>
      </c>
      <c r="D577" s="3">
        <v>61.5</v>
      </c>
      <c r="E577" s="3">
        <v>1.5</v>
      </c>
    </row>
    <row r="578" spans="1:5">
      <c r="A578" s="3">
        <v>270</v>
      </c>
      <c r="B578" s="3">
        <v>5.602118820879701</v>
      </c>
      <c r="C578" s="3">
        <v>8.43</v>
      </c>
      <c r="D578" s="3">
        <v>96.16666667</v>
      </c>
      <c r="E578" s="3">
        <v>6</v>
      </c>
    </row>
    <row r="579" spans="1:5">
      <c r="A579" s="3">
        <v>50</v>
      </c>
      <c r="B579" s="3">
        <v>3.931825632724326</v>
      </c>
      <c r="C579" s="3">
        <v>7.08</v>
      </c>
      <c r="D579" s="3">
        <v>79.66666667</v>
      </c>
      <c r="E579" s="3">
        <v>3.833333333</v>
      </c>
    </row>
    <row r="580" spans="1:5">
      <c r="A580" s="3">
        <v>60</v>
      </c>
      <c r="B580" s="3">
        <v>4.110873864173311</v>
      </c>
      <c r="C580" s="3">
        <v>3.83</v>
      </c>
      <c r="D580" s="3">
        <v>89</v>
      </c>
      <c r="E580" s="3">
        <v>1</v>
      </c>
    </row>
    <row r="581" spans="1:5">
      <c r="A581" s="3">
        <v>50</v>
      </c>
      <c r="B581" s="3">
        <v>3.931825632724326</v>
      </c>
      <c r="C581" s="3">
        <v>4.7</v>
      </c>
      <c r="D581" s="3">
        <v>91</v>
      </c>
      <c r="E581" s="3">
        <v>2</v>
      </c>
    </row>
    <row r="582" spans="1:5">
      <c r="A582" s="3">
        <v>20</v>
      </c>
      <c r="B582" s="3">
        <v>3.044522437723423</v>
      </c>
      <c r="C582" s="3">
        <v>5.5</v>
      </c>
      <c r="D582" s="3">
        <v>87</v>
      </c>
      <c r="E582" s="3">
        <v>2</v>
      </c>
    </row>
    <row r="583" spans="1:5">
      <c r="A583" s="3">
        <v>120</v>
      </c>
      <c r="B583" s="3">
        <v>4.795790545596741</v>
      </c>
      <c r="C583" s="3">
        <v>6.7</v>
      </c>
      <c r="D583" s="3">
        <v>65.33333333</v>
      </c>
      <c r="E583" s="3">
        <v>6.666666667</v>
      </c>
    </row>
    <row r="584" spans="1:5">
      <c r="A584" s="3">
        <v>50</v>
      </c>
      <c r="B584" s="3">
        <v>3.931825632724326</v>
      </c>
      <c r="C584" s="3">
        <v>11.2</v>
      </c>
      <c r="D584" s="3">
        <v>49.5</v>
      </c>
      <c r="E584" s="3">
        <v>4</v>
      </c>
    </row>
    <row r="585" spans="1:5">
      <c r="A585" s="3">
        <v>40</v>
      </c>
      <c r="B585" s="3">
        <v>3.713572066704308</v>
      </c>
      <c r="C585" s="3">
        <v>4.1</v>
      </c>
      <c r="D585" s="3">
        <v>94</v>
      </c>
      <c r="E585" s="3">
        <v>4</v>
      </c>
    </row>
    <row r="586" spans="1:5">
      <c r="A586" s="3">
        <v>70</v>
      </c>
      <c r="B586" s="3">
        <v>4.262679877041315</v>
      </c>
      <c r="C586" s="3">
        <v>16</v>
      </c>
      <c r="D586" s="3">
        <v>38.33333332000001</v>
      </c>
      <c r="E586" s="3">
        <v>4</v>
      </c>
    </row>
    <row r="587" spans="1:5">
      <c r="A587" s="3">
        <v>120</v>
      </c>
      <c r="B587" s="3">
        <v>4.795790545596741</v>
      </c>
      <c r="C587" s="3">
        <v>7.9</v>
      </c>
      <c r="D587" s="3">
        <v>84</v>
      </c>
      <c r="E587" s="3">
        <v>4</v>
      </c>
    </row>
    <row r="588" spans="1:5">
      <c r="A588" s="3">
        <v>50</v>
      </c>
      <c r="B588" s="3">
        <v>3.931825632724326</v>
      </c>
      <c r="C588" s="3">
        <v>12.1</v>
      </c>
      <c r="D588" s="3">
        <v>84</v>
      </c>
      <c r="E588" s="3">
        <v>10.66666667</v>
      </c>
    </row>
    <row r="589" spans="1:5">
      <c r="A589" s="3">
        <v>110</v>
      </c>
      <c r="B589" s="3">
        <v>4.709530201312334</v>
      </c>
      <c r="C589" s="3">
        <v>12.6</v>
      </c>
      <c r="D589" s="3">
        <v>43.33333333</v>
      </c>
      <c r="E589" s="3">
        <v>4.333333333</v>
      </c>
    </row>
    <row r="590" spans="1:5">
      <c r="A590" s="3">
        <v>60</v>
      </c>
      <c r="B590" s="3">
        <v>4.110873864173311</v>
      </c>
      <c r="C590" s="3">
        <v>3.1</v>
      </c>
      <c r="D590" s="3">
        <v>75.83333333</v>
      </c>
      <c r="E590" s="3">
        <v>3.166666667</v>
      </c>
    </row>
    <row r="591" spans="1:5">
      <c r="A591" s="3">
        <v>70</v>
      </c>
      <c r="B591" s="3">
        <v>4.262679877041315</v>
      </c>
      <c r="C591" s="3">
        <v>5.4</v>
      </c>
      <c r="D591" s="3">
        <v>92.16666667</v>
      </c>
      <c r="E591" s="3">
        <v>5.833333333</v>
      </c>
    </row>
    <row r="592" spans="1:5">
      <c r="A592" s="3">
        <v>60</v>
      </c>
      <c r="B592" s="3">
        <v>4.110873864173311</v>
      </c>
      <c r="C592" s="3">
        <v>-3.13</v>
      </c>
      <c r="D592" s="3">
        <v>87.66666667</v>
      </c>
      <c r="E592" s="3">
        <v>1.166666667</v>
      </c>
    </row>
    <row r="593" spans="1:5">
      <c r="A593" s="3">
        <v>50</v>
      </c>
      <c r="B593" s="3">
        <v>3.931825632724326</v>
      </c>
      <c r="C593" s="3">
        <v>6.8</v>
      </c>
      <c r="D593" s="3">
        <v>71.83333333</v>
      </c>
      <c r="E593" s="3">
        <v>4</v>
      </c>
    </row>
    <row r="594" spans="1:5">
      <c r="A594" s="3">
        <v>120</v>
      </c>
      <c r="B594" s="3">
        <v>4.795790545596741</v>
      </c>
      <c r="C594" s="3">
        <v>20.495</v>
      </c>
      <c r="D594" s="3">
        <v>38.33333332000001</v>
      </c>
      <c r="E594" s="3">
        <v>3</v>
      </c>
    </row>
    <row r="595" spans="1:5">
      <c r="A595" s="3">
        <v>130</v>
      </c>
      <c r="B595" s="3">
        <v>4.875197323201151</v>
      </c>
      <c r="C595" s="3">
        <v>2.15</v>
      </c>
      <c r="D595" s="3">
        <v>90.5</v>
      </c>
      <c r="E595" s="3">
        <v>7</v>
      </c>
    </row>
    <row r="596" spans="1:5">
      <c r="A596" s="3">
        <v>70</v>
      </c>
      <c r="B596" s="3">
        <v>4.262679877041315</v>
      </c>
      <c r="C596" s="3">
        <v>1.5</v>
      </c>
      <c r="D596" s="3">
        <v>90</v>
      </c>
      <c r="E596" s="3">
        <v>2.333333333</v>
      </c>
    </row>
    <row r="597" spans="1:5">
      <c r="A597" s="3">
        <v>250</v>
      </c>
      <c r="B597" s="3">
        <v>5.525452939131783</v>
      </c>
      <c r="C597" s="3">
        <v>10.1</v>
      </c>
      <c r="D597" s="3">
        <v>92</v>
      </c>
      <c r="E597" s="3">
        <v>1</v>
      </c>
    </row>
    <row r="598" spans="1:5">
      <c r="A598" s="3">
        <v>20</v>
      </c>
      <c r="B598" s="3">
        <v>3.044522437723423</v>
      </c>
      <c r="C598" s="3">
        <v>0.4</v>
      </c>
      <c r="D598" s="3">
        <v>99.33333333</v>
      </c>
      <c r="E598" s="3">
        <v>2.333333333</v>
      </c>
    </row>
    <row r="599" spans="1:5">
      <c r="A599" s="3">
        <v>50</v>
      </c>
      <c r="B599" s="3">
        <v>3.931825632724326</v>
      </c>
      <c r="C599" s="3">
        <v>11.7</v>
      </c>
      <c r="D599" s="3">
        <v>65</v>
      </c>
      <c r="E599" s="3">
        <v>1.333333333</v>
      </c>
    </row>
    <row r="600" spans="1:5">
      <c r="A600" s="3">
        <v>40</v>
      </c>
      <c r="B600" s="3">
        <v>3.713572066704308</v>
      </c>
      <c r="C600" s="3">
        <v>10.1</v>
      </c>
      <c r="D600" s="3">
        <v>85.25</v>
      </c>
      <c r="E600" s="3">
        <v>1.25</v>
      </c>
    </row>
    <row r="601" spans="1:5">
      <c r="A601" s="3">
        <v>370</v>
      </c>
      <c r="B601" s="3">
        <v>5.916202062607435</v>
      </c>
      <c r="C601" s="3">
        <v>6.58</v>
      </c>
      <c r="D601" s="3">
        <v>96.83333333</v>
      </c>
      <c r="E601" s="3">
        <v>5.833333333</v>
      </c>
    </row>
    <row r="602" spans="1:5">
      <c r="A602" s="3">
        <v>50</v>
      </c>
      <c r="B602" s="3">
        <v>3.931825632724326</v>
      </c>
      <c r="C602" s="3">
        <v>1.95</v>
      </c>
      <c r="D602" s="3">
        <v>96</v>
      </c>
      <c r="E602" s="3">
        <v>5.166666667</v>
      </c>
    </row>
    <row r="603" spans="1:5">
      <c r="A603" s="3">
        <v>50</v>
      </c>
      <c r="B603" s="3">
        <v>3.931825632724326</v>
      </c>
      <c r="C603" s="3">
        <v>2.03</v>
      </c>
      <c r="D603" s="3">
        <v>90.83333333</v>
      </c>
      <c r="E603" s="3">
        <v>1.333333333</v>
      </c>
    </row>
    <row r="604" spans="1:5">
      <c r="A604" s="3">
        <v>90</v>
      </c>
      <c r="B604" s="3">
        <v>4.51085950651685</v>
      </c>
      <c r="C604" s="3">
        <v>9.6</v>
      </c>
      <c r="D604" s="3">
        <v>91.33333333</v>
      </c>
      <c r="E604" s="3">
        <v>7.666666667</v>
      </c>
    </row>
    <row r="605" spans="1:5">
      <c r="A605" s="3">
        <v>30</v>
      </c>
      <c r="B605" s="3">
        <v>3.433987204485146</v>
      </c>
      <c r="C605" s="3">
        <v>0.767</v>
      </c>
      <c r="D605" s="3">
        <v>97.66666667</v>
      </c>
      <c r="E605" s="3">
        <v>1</v>
      </c>
    </row>
    <row r="606" spans="1:5">
      <c r="A606" s="3">
        <v>50</v>
      </c>
      <c r="B606" s="3">
        <v>3.931825632724326</v>
      </c>
      <c r="C606" s="3">
        <v>-0.433</v>
      </c>
      <c r="D606" s="3">
        <v>94</v>
      </c>
      <c r="E606" s="3">
        <v>1</v>
      </c>
    </row>
    <row r="607" spans="1:5">
      <c r="A607" s="3">
        <v>240</v>
      </c>
      <c r="B607" s="3">
        <v>5.484796933490655</v>
      </c>
      <c r="C607" s="3">
        <v>8.6</v>
      </c>
      <c r="D607" s="3">
        <v>93.33333333</v>
      </c>
      <c r="E607" s="3">
        <v>4.666666667</v>
      </c>
    </row>
    <row r="608" spans="1:5">
      <c r="A608" s="3">
        <v>240</v>
      </c>
      <c r="B608" s="3">
        <v>5.484796933490655</v>
      </c>
      <c r="C608" s="3">
        <v>7</v>
      </c>
      <c r="D608" s="3">
        <v>79</v>
      </c>
      <c r="E608" s="3">
        <v>5</v>
      </c>
    </row>
    <row r="609" spans="1:5">
      <c r="A609" s="3">
        <v>130</v>
      </c>
      <c r="B609" s="3">
        <v>4.875197323201151</v>
      </c>
      <c r="C609" s="3">
        <v>4.97</v>
      </c>
      <c r="D609" s="3">
        <v>71</v>
      </c>
      <c r="E609" s="3">
        <v>4.666666667</v>
      </c>
    </row>
    <row r="610" spans="1:5">
      <c r="A610" s="3">
        <v>150</v>
      </c>
      <c r="B610" s="3">
        <v>5.017279836814924</v>
      </c>
      <c r="C610" s="3">
        <v>7.4</v>
      </c>
      <c r="D610" s="3">
        <v>95</v>
      </c>
      <c r="E610" s="3">
        <v>5</v>
      </c>
    </row>
    <row r="611" spans="1:5">
      <c r="A611" s="3">
        <v>40</v>
      </c>
      <c r="B611" s="3">
        <v>3.713572066704308</v>
      </c>
      <c r="C611" s="3">
        <v>-1.3</v>
      </c>
      <c r="D611" s="3">
        <v>97</v>
      </c>
      <c r="E611" s="3">
        <v>1.5</v>
      </c>
    </row>
    <row r="612" spans="1:5">
      <c r="A612" s="3">
        <v>120</v>
      </c>
      <c r="B612" s="3">
        <v>4.795790545596741</v>
      </c>
      <c r="C612" s="3">
        <v>11.1</v>
      </c>
      <c r="D612" s="3">
        <v>60.16666667</v>
      </c>
      <c r="E612" s="3">
        <v>3.833333333</v>
      </c>
    </row>
    <row r="613" spans="1:5">
      <c r="A613" s="3">
        <v>270</v>
      </c>
      <c r="B613" s="3">
        <v>5.602118820879701</v>
      </c>
      <c r="C613" s="3">
        <v>6.45</v>
      </c>
      <c r="D613" s="3">
        <v>71</v>
      </c>
      <c r="E613" s="3">
        <v>4</v>
      </c>
    </row>
    <row r="614" spans="1:5">
      <c r="A614" s="3">
        <v>50</v>
      </c>
      <c r="B614" s="3">
        <v>3.931825632724326</v>
      </c>
      <c r="C614" s="3">
        <v>-0.2</v>
      </c>
      <c r="D614" s="3">
        <v>99</v>
      </c>
      <c r="E614" s="3">
        <v>1</v>
      </c>
    </row>
    <row r="615" spans="1:5">
      <c r="A615" s="3">
        <v>80</v>
      </c>
      <c r="B615" s="3">
        <v>4.394449154672439</v>
      </c>
      <c r="C615" s="3">
        <v>9.07</v>
      </c>
      <c r="D615" s="3">
        <v>57.66666667</v>
      </c>
      <c r="E615" s="3">
        <v>6</v>
      </c>
    </row>
    <row r="616" spans="1:5">
      <c r="A616" s="3">
        <v>50</v>
      </c>
      <c r="B616" s="3">
        <v>3.931825632724326</v>
      </c>
      <c r="C616" s="3">
        <v>3.1</v>
      </c>
      <c r="D616" s="3">
        <v>85</v>
      </c>
      <c r="E616" s="3">
        <v>3.166666667</v>
      </c>
    </row>
    <row r="617" spans="1:5">
      <c r="A617" s="3">
        <v>50</v>
      </c>
      <c r="B617" s="3">
        <v>3.931825632724326</v>
      </c>
      <c r="C617" s="3">
        <v>8</v>
      </c>
      <c r="D617" s="3">
        <v>99</v>
      </c>
      <c r="E617" s="3">
        <v>1</v>
      </c>
    </row>
    <row r="618" spans="1:5">
      <c r="A618" s="3">
        <v>570</v>
      </c>
      <c r="B618" s="3">
        <v>6.347389209656011</v>
      </c>
      <c r="C618" s="3">
        <v>11.7</v>
      </c>
      <c r="D618" s="3">
        <v>50.16666667</v>
      </c>
      <c r="E618" s="3">
        <v>7.833333333</v>
      </c>
    </row>
    <row r="619" spans="1:5">
      <c r="A619" s="3">
        <v>100</v>
      </c>
      <c r="B619" s="3">
        <v>4.61512051684126</v>
      </c>
      <c r="C619" s="3">
        <v>4.4</v>
      </c>
      <c r="D619" s="3">
        <v>82.5</v>
      </c>
      <c r="E619" s="3">
        <v>1.5</v>
      </c>
    </row>
    <row r="620" spans="1:5">
      <c r="A620" s="3">
        <v>60</v>
      </c>
      <c r="B620" s="3">
        <v>4.110873864173311</v>
      </c>
      <c r="C620" s="3">
        <v>14.1</v>
      </c>
      <c r="D620" s="3">
        <v>57.83333333</v>
      </c>
      <c r="E620" s="3">
        <v>4</v>
      </c>
    </row>
    <row r="621" spans="1:5">
      <c r="A621" s="3">
        <v>60</v>
      </c>
      <c r="B621" s="3">
        <v>4.110873864173311</v>
      </c>
      <c r="C621" s="3">
        <v>2.5</v>
      </c>
      <c r="D621" s="3">
        <v>87</v>
      </c>
      <c r="E621" s="3">
        <v>6</v>
      </c>
    </row>
    <row r="622" spans="1:5">
      <c r="A622" s="3">
        <v>50</v>
      </c>
      <c r="B622" s="3">
        <v>3.931825632724326</v>
      </c>
      <c r="C622" s="3">
        <v>13.7</v>
      </c>
      <c r="D622" s="3">
        <v>72.33333333</v>
      </c>
      <c r="E622" s="3">
        <v>5.666666667</v>
      </c>
    </row>
    <row r="623" spans="1:5">
      <c r="A623" s="3">
        <v>60</v>
      </c>
      <c r="B623" s="3">
        <v>4.110873864173311</v>
      </c>
      <c r="C623" s="3">
        <v>2.1</v>
      </c>
      <c r="D623" s="3">
        <v>68</v>
      </c>
      <c r="E623" s="3">
        <v>5.666666667</v>
      </c>
    </row>
    <row r="624" spans="1:5">
      <c r="A624" s="3">
        <v>60</v>
      </c>
      <c r="B624" s="3">
        <v>4.110873864173311</v>
      </c>
      <c r="C624" s="3">
        <v>-1.13</v>
      </c>
      <c r="D624" s="3">
        <v>93</v>
      </c>
      <c r="E624" s="3">
        <v>1.666666667</v>
      </c>
    </row>
    <row r="625" spans="1:5">
      <c r="A625" s="3">
        <v>390</v>
      </c>
      <c r="B625" s="3">
        <v>5.968707559985366</v>
      </c>
      <c r="C625" s="3">
        <v>0.3</v>
      </c>
      <c r="D625" s="3">
        <v>89.83333333</v>
      </c>
      <c r="E625" s="3">
        <v>2</v>
      </c>
    </row>
    <row r="626" spans="1:5">
      <c r="A626" s="3">
        <v>490</v>
      </c>
      <c r="B626" s="3">
        <v>6.19644412779452</v>
      </c>
      <c r="C626" s="3">
        <v>15.2</v>
      </c>
      <c r="D626" s="3">
        <v>94</v>
      </c>
      <c r="E626" s="3">
        <v>3.333333333</v>
      </c>
    </row>
    <row r="627" spans="1:5">
      <c r="A627" s="3">
        <v>290</v>
      </c>
      <c r="B627" s="3">
        <v>5.673323267171493</v>
      </c>
      <c r="C627" s="3">
        <v>2.72</v>
      </c>
      <c r="D627" s="3">
        <v>72</v>
      </c>
      <c r="E627" s="3">
        <v>5.666666667</v>
      </c>
    </row>
    <row r="628" spans="1:5">
      <c r="A628" s="3">
        <v>60</v>
      </c>
      <c r="B628" s="3">
        <v>4.110873864173311</v>
      </c>
      <c r="C628" s="3">
        <v>10.3</v>
      </c>
      <c r="D628" s="3">
        <v>95</v>
      </c>
      <c r="E628" s="3">
        <v>7.666666667</v>
      </c>
    </row>
    <row r="629" spans="1:5">
      <c r="A629" s="3">
        <v>440</v>
      </c>
      <c r="B629" s="3">
        <v>6.089044875446846</v>
      </c>
      <c r="C629" s="3">
        <v>8.43</v>
      </c>
      <c r="D629" s="3">
        <v>76.33333333</v>
      </c>
      <c r="E629" s="3">
        <v>4</v>
      </c>
    </row>
    <row r="630" spans="1:5">
      <c r="A630" s="3">
        <v>40</v>
      </c>
      <c r="B630" s="3">
        <v>3.713572066704308</v>
      </c>
      <c r="C630" s="3">
        <v>-3.45</v>
      </c>
      <c r="D630" s="3">
        <v>92.33333333</v>
      </c>
      <c r="E630" s="3">
        <v>1</v>
      </c>
    </row>
    <row r="631" spans="1:5">
      <c r="A631" s="3">
        <v>190</v>
      </c>
      <c r="B631" s="3">
        <v>5.25227342804663</v>
      </c>
      <c r="C631" s="3">
        <v>20.495</v>
      </c>
      <c r="D631" s="3">
        <v>59</v>
      </c>
      <c r="E631" s="3">
        <v>2</v>
      </c>
    </row>
    <row r="632" spans="1:5">
      <c r="A632" s="3">
        <v>110</v>
      </c>
      <c r="B632" s="3">
        <v>4.709530201312334</v>
      </c>
      <c r="C632" s="3">
        <v>12.8</v>
      </c>
      <c r="D632" s="3">
        <v>58</v>
      </c>
      <c r="E632" s="3">
        <v>4</v>
      </c>
    </row>
    <row r="633" spans="1:5">
      <c r="A633" s="3">
        <v>120</v>
      </c>
      <c r="B633" s="3">
        <v>4.795790545596741</v>
      </c>
      <c r="C633" s="3">
        <v>18.9</v>
      </c>
      <c r="D633" s="3">
        <v>65</v>
      </c>
      <c r="E633" s="3">
        <v>2</v>
      </c>
    </row>
    <row r="634" spans="1:5">
      <c r="A634" s="3">
        <v>360</v>
      </c>
      <c r="B634" s="3">
        <v>5.888877958332881</v>
      </c>
      <c r="C634" s="3">
        <v>4</v>
      </c>
      <c r="D634" s="3">
        <v>56</v>
      </c>
      <c r="E634" s="3">
        <v>1.5</v>
      </c>
    </row>
    <row r="635" spans="1:5">
      <c r="A635" s="3">
        <v>60</v>
      </c>
      <c r="B635" s="3">
        <v>4.110873864173311</v>
      </c>
      <c r="C635" s="3">
        <v>4.89</v>
      </c>
      <c r="D635" s="3">
        <v>74.91666667</v>
      </c>
      <c r="E635" s="3">
        <v>5.916666667</v>
      </c>
    </row>
    <row r="636" spans="1:5">
      <c r="A636" s="3">
        <v>50</v>
      </c>
      <c r="B636" s="3">
        <v>3.931825632724326</v>
      </c>
      <c r="C636" s="3">
        <v>5.92</v>
      </c>
      <c r="D636" s="3">
        <v>76.83333333</v>
      </c>
      <c r="E636" s="3">
        <v>5.833333333</v>
      </c>
    </row>
    <row r="637" spans="1:5">
      <c r="A637" s="3">
        <v>110</v>
      </c>
      <c r="B637" s="3">
        <v>4.709530201312334</v>
      </c>
      <c r="C637" s="3">
        <v>-0.167</v>
      </c>
      <c r="D637" s="3">
        <v>84.16666667</v>
      </c>
      <c r="E637" s="3">
        <v>1.166666667</v>
      </c>
    </row>
    <row r="638" spans="1:5">
      <c r="A638" s="3">
        <v>80</v>
      </c>
      <c r="B638" s="3">
        <v>4.394449154672439</v>
      </c>
      <c r="C638" s="3">
        <v>8.970000000000001</v>
      </c>
      <c r="D638" s="3">
        <v>52.66666667</v>
      </c>
      <c r="E638" s="3">
        <v>6.333333333</v>
      </c>
    </row>
    <row r="639" spans="1:5">
      <c r="A639" s="3">
        <v>70</v>
      </c>
      <c r="B639" s="3">
        <v>4.262679877041315</v>
      </c>
      <c r="C639" s="3">
        <v>3.78</v>
      </c>
      <c r="D639" s="3">
        <v>95</v>
      </c>
      <c r="E639" s="3">
        <v>5</v>
      </c>
    </row>
    <row r="640" spans="1:5">
      <c r="A640" s="3">
        <v>140</v>
      </c>
      <c r="B640" s="3">
        <v>4.948759890378168</v>
      </c>
      <c r="C640" s="3">
        <v>14.1</v>
      </c>
      <c r="D640" s="3">
        <v>65.66666667</v>
      </c>
      <c r="E640" s="3">
        <v>4</v>
      </c>
    </row>
    <row r="641" spans="1:5">
      <c r="A641" s="3">
        <v>50</v>
      </c>
      <c r="B641" s="3">
        <v>3.931825632724326</v>
      </c>
      <c r="C641" s="3">
        <v>20.495</v>
      </c>
      <c r="D641" s="3">
        <v>38.33333332000001</v>
      </c>
      <c r="E641" s="3">
        <v>5</v>
      </c>
    </row>
    <row r="642" spans="1:5">
      <c r="A642" s="3">
        <v>40</v>
      </c>
      <c r="B642" s="3">
        <v>3.713572066704308</v>
      </c>
      <c r="C642" s="3">
        <v>5.1</v>
      </c>
      <c r="D642" s="3">
        <v>90.66666667</v>
      </c>
      <c r="E642" s="3">
        <v>2</v>
      </c>
    </row>
    <row r="643" spans="1:5">
      <c r="A643" s="3">
        <v>70</v>
      </c>
      <c r="B643" s="3">
        <v>4.262679877041315</v>
      </c>
      <c r="C643" s="3">
        <v>16.9</v>
      </c>
      <c r="D643" s="3">
        <v>81.5</v>
      </c>
      <c r="E643" s="3">
        <v>1.166666667</v>
      </c>
    </row>
    <row r="644" spans="1:5">
      <c r="A644" s="3">
        <v>40</v>
      </c>
      <c r="B644" s="3">
        <v>3.713572066704308</v>
      </c>
      <c r="C644" s="3">
        <v>4.6</v>
      </c>
      <c r="D644" s="3">
        <v>75.33333333</v>
      </c>
      <c r="E644" s="3">
        <v>5.666666667</v>
      </c>
    </row>
    <row r="645" spans="1:5">
      <c r="A645" s="3">
        <v>80</v>
      </c>
      <c r="B645" s="3">
        <v>4.394449154672439</v>
      </c>
      <c r="C645" s="3">
        <v>4</v>
      </c>
      <c r="D645" s="3">
        <v>79</v>
      </c>
      <c r="E645" s="3">
        <v>2.666666667</v>
      </c>
    </row>
    <row r="646" spans="1:5">
      <c r="A646" s="3">
        <v>50</v>
      </c>
      <c r="B646" s="3">
        <v>3.931825632724326</v>
      </c>
      <c r="C646" s="3">
        <v>0.45</v>
      </c>
      <c r="D646" s="3">
        <v>96.5</v>
      </c>
      <c r="E646" s="3">
        <v>1.5</v>
      </c>
    </row>
    <row r="647" spans="1:5">
      <c r="A647" s="3">
        <v>20</v>
      </c>
      <c r="B647" s="3">
        <v>3.044522437723423</v>
      </c>
      <c r="C647" s="3">
        <v>6.83</v>
      </c>
      <c r="D647" s="3">
        <v>64.66666667</v>
      </c>
      <c r="E647" s="3">
        <v>3.166666667</v>
      </c>
    </row>
    <row r="648" spans="1:5">
      <c r="A648" s="3">
        <v>50</v>
      </c>
      <c r="B648" s="3">
        <v>3.931825632724326</v>
      </c>
      <c r="C648" s="3">
        <v>10.9</v>
      </c>
      <c r="D648" s="3">
        <v>73.33333333</v>
      </c>
      <c r="E648" s="3">
        <v>1</v>
      </c>
    </row>
    <row r="649" spans="1:5">
      <c r="A649" s="3">
        <v>50</v>
      </c>
      <c r="B649" s="3">
        <v>3.931825632724326</v>
      </c>
      <c r="C649" s="3">
        <v>-2.43</v>
      </c>
      <c r="D649" s="3">
        <v>91</v>
      </c>
      <c r="E649" s="3">
        <v>1</v>
      </c>
    </row>
    <row r="650" spans="1:5">
      <c r="A650" s="3">
        <v>120</v>
      </c>
      <c r="B650" s="3">
        <v>4.795790545596741</v>
      </c>
      <c r="C650" s="3">
        <v>10.9</v>
      </c>
      <c r="D650" s="3">
        <v>61</v>
      </c>
      <c r="E650" s="3">
        <v>7.833333333</v>
      </c>
    </row>
    <row r="651" spans="1:5">
      <c r="A651" s="3">
        <v>50</v>
      </c>
      <c r="B651" s="3">
        <v>3.931825632724326</v>
      </c>
      <c r="C651" s="3">
        <v>13.7</v>
      </c>
      <c r="D651" s="3">
        <v>82.33333333</v>
      </c>
      <c r="E651" s="3">
        <v>1</v>
      </c>
    </row>
    <row r="652" spans="1:5">
      <c r="A652" s="3">
        <v>40</v>
      </c>
      <c r="B652" s="3">
        <v>3.713572066704308</v>
      </c>
      <c r="C652" s="3">
        <v>3.07</v>
      </c>
      <c r="D652" s="3">
        <v>90.33333333</v>
      </c>
      <c r="E652" s="3">
        <v>5.666666667</v>
      </c>
    </row>
    <row r="653" spans="1:5">
      <c r="A653" s="3">
        <v>70</v>
      </c>
      <c r="B653" s="3">
        <v>4.262679877041315</v>
      </c>
      <c r="C653" s="3">
        <v>2.1</v>
      </c>
      <c r="D653" s="3">
        <v>91</v>
      </c>
      <c r="E653" s="3">
        <v>1</v>
      </c>
    </row>
    <row r="654" spans="1:5">
      <c r="A654" s="3">
        <v>50</v>
      </c>
      <c r="B654" s="3">
        <v>3.931825632724326</v>
      </c>
      <c r="C654" s="3">
        <v>16.9</v>
      </c>
      <c r="D654" s="3">
        <v>58.33333333</v>
      </c>
      <c r="E654" s="3">
        <v>2.666666667</v>
      </c>
    </row>
    <row r="655" spans="1:5">
      <c r="A655" s="3">
        <v>50</v>
      </c>
      <c r="B655" s="3">
        <v>3.931825632724326</v>
      </c>
      <c r="C655" s="3">
        <v>3.27</v>
      </c>
      <c r="D655" s="3">
        <v>93</v>
      </c>
      <c r="E655" s="3">
        <v>5</v>
      </c>
    </row>
    <row r="656" spans="1:5">
      <c r="A656" s="3">
        <v>60</v>
      </c>
      <c r="B656" s="3">
        <v>4.110873864173311</v>
      </c>
      <c r="C656" s="3">
        <v>10.9</v>
      </c>
      <c r="D656" s="3">
        <v>89</v>
      </c>
      <c r="E656" s="3">
        <v>8.5</v>
      </c>
    </row>
    <row r="657" spans="1:5">
      <c r="A657" s="3">
        <v>70</v>
      </c>
      <c r="B657" s="3">
        <v>4.262679877041315</v>
      </c>
      <c r="C657" s="3">
        <v>3.37</v>
      </c>
      <c r="D657" s="3">
        <v>92.33333333</v>
      </c>
      <c r="E657" s="3">
        <v>2.166666667</v>
      </c>
    </row>
    <row r="658" spans="1:5">
      <c r="A658" s="3">
        <v>70</v>
      </c>
      <c r="B658" s="3">
        <v>4.262679877041315</v>
      </c>
      <c r="C658" s="3">
        <v>3.27</v>
      </c>
      <c r="D658" s="3">
        <v>88.33333333</v>
      </c>
      <c r="E658" s="3">
        <v>7.666666667</v>
      </c>
    </row>
    <row r="659" spans="1:5">
      <c r="A659" s="3">
        <v>50</v>
      </c>
      <c r="B659" s="3">
        <v>3.931825632724326</v>
      </c>
      <c r="C659" s="3">
        <v>6.68</v>
      </c>
      <c r="D659" s="3">
        <v>76.16666667</v>
      </c>
      <c r="E659" s="3">
        <v>2.166666667</v>
      </c>
    </row>
    <row r="660" spans="1:5">
      <c r="A660" s="3">
        <v>270</v>
      </c>
      <c r="B660" s="3">
        <v>5.602118820879701</v>
      </c>
      <c r="C660" s="3">
        <v>6.07</v>
      </c>
      <c r="D660" s="3">
        <v>46.66666667</v>
      </c>
      <c r="E660" s="3">
        <v>5</v>
      </c>
    </row>
    <row r="661" spans="1:5">
      <c r="A661" s="3">
        <v>90</v>
      </c>
      <c r="B661" s="3">
        <v>4.51085950651685</v>
      </c>
      <c r="C661" s="3">
        <v>14.9</v>
      </c>
      <c r="D661" s="3">
        <v>56.72222222</v>
      </c>
      <c r="E661" s="3">
        <v>8.388888889</v>
      </c>
    </row>
    <row r="662" spans="1:5">
      <c r="A662" s="3">
        <v>170</v>
      </c>
      <c r="B662" s="3">
        <v>5.14166355650266</v>
      </c>
      <c r="C662" s="3">
        <v>7.1</v>
      </c>
      <c r="D662" s="3">
        <v>71.5</v>
      </c>
      <c r="E662" s="3">
        <v>1.833333333</v>
      </c>
    </row>
    <row r="663" spans="1:5">
      <c r="A663" s="3">
        <v>100</v>
      </c>
      <c r="B663" s="3">
        <v>4.61512051684126</v>
      </c>
      <c r="C663" s="3">
        <v>13.8</v>
      </c>
      <c r="D663" s="3">
        <v>67</v>
      </c>
      <c r="E663" s="3">
        <v>6</v>
      </c>
    </row>
    <row r="664" spans="1:5">
      <c r="A664" s="3">
        <v>50</v>
      </c>
      <c r="B664" s="3">
        <v>3.931825632724326</v>
      </c>
      <c r="C664" s="3">
        <v>4.5</v>
      </c>
      <c r="D664" s="3">
        <v>72</v>
      </c>
      <c r="E664" s="3">
        <v>5</v>
      </c>
    </row>
    <row r="665" spans="1:5">
      <c r="A665" s="3">
        <v>30</v>
      </c>
      <c r="B665" s="3">
        <v>3.433987204485146</v>
      </c>
      <c r="C665" s="3">
        <v>3.7</v>
      </c>
      <c r="D665" s="3">
        <v>97.5</v>
      </c>
      <c r="E665" s="3">
        <v>5.5</v>
      </c>
    </row>
    <row r="666" spans="1:5">
      <c r="A666" s="3">
        <v>60</v>
      </c>
      <c r="B666" s="3">
        <v>4.110873864173311</v>
      </c>
      <c r="C666" s="3">
        <v>2.65</v>
      </c>
      <c r="D666" s="3">
        <v>91.33333333</v>
      </c>
      <c r="E666" s="3">
        <v>3</v>
      </c>
    </row>
    <row r="667" spans="1:5">
      <c r="A667" s="3">
        <v>120</v>
      </c>
      <c r="B667" s="3">
        <v>4.795790545596741</v>
      </c>
      <c r="C667" s="3">
        <v>-0.667</v>
      </c>
      <c r="D667" s="3">
        <v>84</v>
      </c>
      <c r="E667" s="3">
        <v>1.666666667</v>
      </c>
    </row>
    <row r="668" spans="1:5">
      <c r="A668" s="3">
        <v>40</v>
      </c>
      <c r="B668" s="3">
        <v>3.713572066704308</v>
      </c>
      <c r="C668" s="3">
        <v>-0.7</v>
      </c>
      <c r="D668" s="3">
        <v>99</v>
      </c>
      <c r="E668" s="3">
        <v>2</v>
      </c>
    </row>
    <row r="669" spans="1:5">
      <c r="A669" s="3">
        <v>40</v>
      </c>
      <c r="B669" s="3">
        <v>3.713572066704308</v>
      </c>
      <c r="C669" s="3">
        <v>4.33</v>
      </c>
      <c r="D669" s="3">
        <v>86.16666667</v>
      </c>
      <c r="E669" s="3">
        <v>4.166666667</v>
      </c>
    </row>
    <row r="670" spans="1:5">
      <c r="A670" s="3">
        <v>60</v>
      </c>
      <c r="B670" s="3">
        <v>4.110873864173311</v>
      </c>
      <c r="C670" s="3">
        <v>4.6</v>
      </c>
      <c r="D670" s="3">
        <v>97</v>
      </c>
      <c r="E670" s="3">
        <v>1</v>
      </c>
    </row>
    <row r="671" spans="1:5">
      <c r="A671" s="3">
        <v>60</v>
      </c>
      <c r="B671" s="3">
        <v>4.110873864173311</v>
      </c>
      <c r="C671" s="3">
        <v>8.77</v>
      </c>
      <c r="D671" s="3">
        <v>75</v>
      </c>
      <c r="E671" s="3">
        <v>7</v>
      </c>
    </row>
    <row r="672" spans="1:5">
      <c r="A672" s="3">
        <v>260</v>
      </c>
      <c r="B672" s="3">
        <v>5.564520407322694</v>
      </c>
      <c r="C672" s="3">
        <v>11.9</v>
      </c>
      <c r="D672" s="3">
        <v>52</v>
      </c>
      <c r="E672" s="3">
        <v>5</v>
      </c>
    </row>
    <row r="673" spans="1:5">
      <c r="A673" s="3">
        <v>60</v>
      </c>
      <c r="B673" s="3">
        <v>4.110873864173311</v>
      </c>
      <c r="C673" s="3">
        <v>20.495</v>
      </c>
      <c r="D673" s="3">
        <v>38.33333332000001</v>
      </c>
      <c r="E673" s="3">
        <v>5.5</v>
      </c>
    </row>
    <row r="674" spans="1:5">
      <c r="A674" s="3">
        <v>60</v>
      </c>
      <c r="B674" s="3">
        <v>4.110873864173311</v>
      </c>
      <c r="C674" s="3">
        <v>7.33</v>
      </c>
      <c r="D674" s="3">
        <v>95.33333333</v>
      </c>
      <c r="E674" s="3">
        <v>2</v>
      </c>
    </row>
    <row r="675" spans="1:5">
      <c r="A675" s="3">
        <v>30</v>
      </c>
      <c r="B675" s="3">
        <v>3.433987204485146</v>
      </c>
      <c r="C675" s="3">
        <v>5.27</v>
      </c>
      <c r="D675" s="3">
        <v>85.83333333</v>
      </c>
      <c r="E675" s="3">
        <v>7.166666667</v>
      </c>
    </row>
    <row r="676" spans="1:5">
      <c r="A676" s="3">
        <v>130</v>
      </c>
      <c r="B676" s="3">
        <v>4.875197323201151</v>
      </c>
      <c r="C676" s="3">
        <v>3.37</v>
      </c>
      <c r="D676" s="3">
        <v>92.33333333</v>
      </c>
      <c r="E676" s="3">
        <v>6.666666667</v>
      </c>
    </row>
    <row r="677" spans="1:5">
      <c r="A677" s="3">
        <v>40</v>
      </c>
      <c r="B677" s="3">
        <v>3.713572066704308</v>
      </c>
      <c r="C677" s="3">
        <v>5.9</v>
      </c>
      <c r="D677" s="3">
        <v>86</v>
      </c>
      <c r="E677" s="3">
        <v>5</v>
      </c>
    </row>
    <row r="678" spans="1:5">
      <c r="A678" s="3">
        <v>20</v>
      </c>
      <c r="B678" s="3">
        <v>3.044522437723423</v>
      </c>
      <c r="C678" s="3">
        <v>4.37</v>
      </c>
      <c r="D678" s="3">
        <v>100</v>
      </c>
      <c r="E678" s="3">
        <v>5</v>
      </c>
    </row>
    <row r="679" spans="1:5">
      <c r="A679" s="3">
        <v>70</v>
      </c>
      <c r="B679" s="3">
        <v>4.262679877041315</v>
      </c>
      <c r="C679" s="3">
        <v>3.37</v>
      </c>
      <c r="D679" s="3">
        <v>85.16666667</v>
      </c>
      <c r="E679" s="3">
        <v>1</v>
      </c>
    </row>
    <row r="680" spans="1:5">
      <c r="A680" s="3">
        <v>500</v>
      </c>
      <c r="B680" s="3">
        <v>6.216606101084865</v>
      </c>
      <c r="C680" s="3">
        <v>5.48</v>
      </c>
      <c r="D680" s="3">
        <v>90.16666667</v>
      </c>
      <c r="E680" s="3">
        <v>5</v>
      </c>
    </row>
    <row r="681" spans="1:5">
      <c r="A681" s="3">
        <v>130</v>
      </c>
      <c r="B681" s="3">
        <v>4.875197323201151</v>
      </c>
      <c r="C681" s="3">
        <v>7.2</v>
      </c>
      <c r="D681" s="3">
        <v>95</v>
      </c>
      <c r="E681" s="3">
        <v>6</v>
      </c>
    </row>
    <row r="682" spans="1:5">
      <c r="A682" s="3">
        <v>60</v>
      </c>
      <c r="B682" s="3">
        <v>4.110873864173311</v>
      </c>
      <c r="C682" s="3">
        <v>0.433</v>
      </c>
      <c r="D682" s="3">
        <v>96.83333333</v>
      </c>
      <c r="E682" s="3">
        <v>1.833333333</v>
      </c>
    </row>
    <row r="683" spans="1:5">
      <c r="A683" s="3">
        <v>50</v>
      </c>
      <c r="B683" s="3">
        <v>3.931825632724326</v>
      </c>
      <c r="C683" s="3">
        <v>0.3</v>
      </c>
      <c r="D683" s="3">
        <v>99</v>
      </c>
      <c r="E683" s="3">
        <v>1</v>
      </c>
    </row>
    <row r="684" spans="1:5">
      <c r="A684" s="3">
        <v>110</v>
      </c>
      <c r="B684" s="3">
        <v>4.709530201312334</v>
      </c>
      <c r="C684" s="3">
        <v>5</v>
      </c>
      <c r="D684" s="3">
        <v>91</v>
      </c>
      <c r="E684" s="3">
        <v>2</v>
      </c>
    </row>
    <row r="685" spans="1:5">
      <c r="A685" s="3">
        <v>80</v>
      </c>
      <c r="B685" s="3">
        <v>4.394449154672439</v>
      </c>
      <c r="C685" s="3">
        <v>4</v>
      </c>
      <c r="D685" s="3">
        <v>79.5</v>
      </c>
      <c r="E685" s="3">
        <v>2</v>
      </c>
    </row>
    <row r="686" spans="1:5">
      <c r="A686" s="3">
        <v>130</v>
      </c>
      <c r="B686" s="3">
        <v>4.875197323201151</v>
      </c>
      <c r="C686" s="3">
        <v>8.699999999999999</v>
      </c>
      <c r="D686" s="3">
        <v>60.33333333</v>
      </c>
      <c r="E686" s="3">
        <v>3</v>
      </c>
    </row>
    <row r="687" spans="1:5">
      <c r="A687" s="3">
        <v>110</v>
      </c>
      <c r="B687" s="3">
        <v>4.709530201312334</v>
      </c>
      <c r="C687" s="3">
        <v>11.9</v>
      </c>
      <c r="D687" s="3">
        <v>63.5</v>
      </c>
      <c r="E687" s="3">
        <v>4.5</v>
      </c>
    </row>
    <row r="688" spans="1:5">
      <c r="A688" s="3">
        <v>50</v>
      </c>
      <c r="B688" s="3">
        <v>3.931825632724326</v>
      </c>
      <c r="C688" s="3">
        <v>10.9</v>
      </c>
      <c r="D688" s="3">
        <v>89.66666667</v>
      </c>
      <c r="E688" s="3">
        <v>1.666666667</v>
      </c>
    </row>
    <row r="689" spans="1:5">
      <c r="A689" s="3">
        <v>60</v>
      </c>
      <c r="B689" s="3">
        <v>4.110873864173311</v>
      </c>
      <c r="C689" s="3">
        <v>13.9</v>
      </c>
      <c r="D689" s="3">
        <v>61.5</v>
      </c>
      <c r="E689" s="3">
        <v>3.166666667</v>
      </c>
    </row>
    <row r="690" spans="1:5">
      <c r="A690" s="3">
        <v>90</v>
      </c>
      <c r="B690" s="3">
        <v>4.51085950651685</v>
      </c>
      <c r="C690" s="3">
        <v>7.42</v>
      </c>
      <c r="D690" s="3">
        <v>79.33333333</v>
      </c>
      <c r="E690" s="3">
        <v>7</v>
      </c>
    </row>
    <row r="691" spans="1:5">
      <c r="A691" s="3">
        <v>50</v>
      </c>
      <c r="B691" s="3">
        <v>3.931825632724326</v>
      </c>
      <c r="C691" s="3">
        <v>10.7</v>
      </c>
      <c r="D691" s="3">
        <v>95</v>
      </c>
      <c r="E691" s="3">
        <v>6</v>
      </c>
    </row>
    <row r="692" spans="1:5">
      <c r="A692" s="3">
        <v>40</v>
      </c>
      <c r="B692" s="3">
        <v>3.713572066704308</v>
      </c>
      <c r="C692" s="3">
        <v>0.35</v>
      </c>
      <c r="D692" s="3">
        <v>99</v>
      </c>
      <c r="E692" s="3">
        <v>1</v>
      </c>
    </row>
    <row r="693" spans="1:5">
      <c r="A693" s="3">
        <v>40</v>
      </c>
      <c r="B693" s="3">
        <v>3.713572066704308</v>
      </c>
      <c r="C693" s="3">
        <v>4.8</v>
      </c>
      <c r="D693" s="3">
        <v>95</v>
      </c>
      <c r="E693" s="3">
        <v>9</v>
      </c>
    </row>
    <row r="694" spans="1:5">
      <c r="A694" s="3">
        <v>40</v>
      </c>
      <c r="B694" s="3">
        <v>3.713572066704308</v>
      </c>
      <c r="C694" s="3">
        <v>8.9</v>
      </c>
      <c r="D694" s="3">
        <v>86.33333333</v>
      </c>
      <c r="E694" s="3">
        <v>4.666666667</v>
      </c>
    </row>
    <row r="695" spans="1:5">
      <c r="A695" s="3">
        <v>50</v>
      </c>
      <c r="B695" s="3">
        <v>3.931825632724326</v>
      </c>
      <c r="C695" s="3">
        <v>1.38</v>
      </c>
      <c r="D695" s="3">
        <v>97</v>
      </c>
      <c r="E695" s="3">
        <v>1</v>
      </c>
    </row>
    <row r="696" spans="1:5">
      <c r="A696" s="3">
        <v>70</v>
      </c>
      <c r="B696" s="3">
        <v>4.262679877041315</v>
      </c>
      <c r="C696" s="3">
        <v>12.3</v>
      </c>
      <c r="D696" s="3">
        <v>58.66666667</v>
      </c>
      <c r="E696" s="3">
        <v>1.666666667</v>
      </c>
    </row>
    <row r="697" spans="1:5">
      <c r="A697" s="3">
        <v>70</v>
      </c>
      <c r="B697" s="3">
        <v>4.262679877041315</v>
      </c>
      <c r="C697" s="3">
        <v>3.4</v>
      </c>
      <c r="D697" s="3">
        <v>88.5</v>
      </c>
      <c r="E697" s="3">
        <v>1</v>
      </c>
    </row>
    <row r="698" spans="1:5">
      <c r="A698" s="3">
        <v>590</v>
      </c>
      <c r="B698" s="3">
        <v>6.381816017406098</v>
      </c>
      <c r="C698" s="3">
        <v>-0.767</v>
      </c>
      <c r="D698" s="3">
        <v>84</v>
      </c>
      <c r="E698" s="3">
        <v>1.166666667</v>
      </c>
    </row>
    <row r="699" spans="1:5">
      <c r="A699" s="3">
        <v>50</v>
      </c>
      <c r="B699" s="3">
        <v>3.931825632724326</v>
      </c>
      <c r="C699" s="3">
        <v>0.5</v>
      </c>
      <c r="D699" s="3">
        <v>98.33333333</v>
      </c>
      <c r="E699" s="3">
        <v>1.333333333</v>
      </c>
    </row>
    <row r="700" spans="1:5">
      <c r="A700" s="3">
        <v>70</v>
      </c>
      <c r="B700" s="3">
        <v>4.262679877041315</v>
      </c>
      <c r="C700" s="3">
        <v>7.97</v>
      </c>
      <c r="D700" s="3">
        <v>99</v>
      </c>
      <c r="E700" s="3">
        <v>1</v>
      </c>
    </row>
    <row r="701" spans="1:5">
      <c r="A701" s="3">
        <v>40</v>
      </c>
      <c r="B701" s="3">
        <v>3.713572066704308</v>
      </c>
      <c r="C701" s="3">
        <v>8.300000000000001</v>
      </c>
      <c r="D701" s="3">
        <v>98.5</v>
      </c>
      <c r="E701" s="3">
        <v>3.5</v>
      </c>
    </row>
    <row r="702" spans="1:5">
      <c r="A702" s="3">
        <v>160</v>
      </c>
      <c r="B702" s="3">
        <v>5.081404364984463</v>
      </c>
      <c r="C702" s="3">
        <v>10.9</v>
      </c>
      <c r="D702" s="3">
        <v>64.5</v>
      </c>
      <c r="E702" s="3">
        <v>7.5</v>
      </c>
    </row>
    <row r="703" spans="1:5">
      <c r="A703" s="3">
        <v>60</v>
      </c>
      <c r="B703" s="3">
        <v>4.110873864173311</v>
      </c>
      <c r="C703" s="3">
        <v>13.6</v>
      </c>
      <c r="D703" s="3">
        <v>87</v>
      </c>
      <c r="E703" s="3">
        <v>4</v>
      </c>
    </row>
    <row r="704" spans="1:5">
      <c r="A704" s="3">
        <v>180</v>
      </c>
      <c r="B704" s="3">
        <v>5.198497031265826</v>
      </c>
      <c r="C704" s="3">
        <v>13.9</v>
      </c>
      <c r="D704" s="3">
        <v>63.33333333</v>
      </c>
      <c r="E704" s="3">
        <v>4.833333333</v>
      </c>
    </row>
    <row r="705" spans="1:5">
      <c r="A705" s="3">
        <v>50</v>
      </c>
      <c r="B705" s="3">
        <v>3.931825632724326</v>
      </c>
      <c r="C705" s="3">
        <v>8.68</v>
      </c>
      <c r="D705" s="3">
        <v>96.66666667</v>
      </c>
      <c r="E705" s="3">
        <v>6</v>
      </c>
    </row>
    <row r="706" spans="1:5">
      <c r="A706" s="3">
        <v>70</v>
      </c>
      <c r="B706" s="3">
        <v>4.262679877041315</v>
      </c>
      <c r="C706" s="3">
        <v>-1.57</v>
      </c>
      <c r="D706" s="3">
        <v>87.33333333</v>
      </c>
      <c r="E706" s="3">
        <v>3</v>
      </c>
    </row>
    <row r="707" spans="1:5">
      <c r="A707" s="3">
        <v>50</v>
      </c>
      <c r="B707" s="3">
        <v>3.931825632724326</v>
      </c>
      <c r="C707" s="3">
        <v>10.7</v>
      </c>
      <c r="D707" s="3">
        <v>73.5</v>
      </c>
      <c r="E707" s="3">
        <v>10.75</v>
      </c>
    </row>
    <row r="708" spans="1:5">
      <c r="A708" s="3">
        <v>70</v>
      </c>
      <c r="B708" s="3">
        <v>4.262679877041315</v>
      </c>
      <c r="C708" s="3">
        <v>1.65</v>
      </c>
      <c r="D708" s="3">
        <v>70.5</v>
      </c>
      <c r="E708" s="3">
        <v>6</v>
      </c>
    </row>
    <row r="709" spans="1:5">
      <c r="A709" s="3">
        <v>50</v>
      </c>
      <c r="B709" s="3">
        <v>3.931825632724326</v>
      </c>
      <c r="C709" s="3">
        <v>5</v>
      </c>
      <c r="D709" s="3">
        <v>92</v>
      </c>
      <c r="E709" s="3">
        <v>4.5</v>
      </c>
    </row>
    <row r="710" spans="1:5">
      <c r="A710" s="3">
        <v>70</v>
      </c>
      <c r="B710" s="3">
        <v>4.262679877041315</v>
      </c>
      <c r="C710" s="3">
        <v>10.2</v>
      </c>
      <c r="D710" s="3">
        <v>87.33333333</v>
      </c>
      <c r="E710" s="3">
        <v>5.666666667</v>
      </c>
    </row>
    <row r="711" spans="1:5">
      <c r="A711" s="3">
        <v>120</v>
      </c>
      <c r="B711" s="3">
        <v>4.795790545596741</v>
      </c>
      <c r="C711" s="3">
        <v>11.4</v>
      </c>
      <c r="D711" s="3">
        <v>85.66666667</v>
      </c>
      <c r="E711" s="3">
        <v>10.16666667</v>
      </c>
    </row>
    <row r="712" spans="1:5">
      <c r="A712" s="3">
        <v>120</v>
      </c>
      <c r="B712" s="3">
        <v>4.795790545596741</v>
      </c>
      <c r="C712" s="3">
        <v>7.63</v>
      </c>
      <c r="D712" s="3">
        <v>85.33333333</v>
      </c>
      <c r="E712" s="3">
        <v>3.666666667</v>
      </c>
    </row>
    <row r="713" spans="1:5">
      <c r="A713" s="3">
        <v>220</v>
      </c>
      <c r="B713" s="3">
        <v>5.398162701517752</v>
      </c>
      <c r="C713" s="3">
        <v>10.4</v>
      </c>
      <c r="D713" s="3">
        <v>89</v>
      </c>
      <c r="E713" s="3">
        <v>5.666666667</v>
      </c>
    </row>
    <row r="714" spans="1:5">
      <c r="A714" s="3">
        <v>420</v>
      </c>
      <c r="B714" s="3">
        <v>6.042632833682381</v>
      </c>
      <c r="C714" s="3">
        <v>5.9</v>
      </c>
      <c r="D714" s="3">
        <v>68.66666667</v>
      </c>
      <c r="E714" s="3">
        <v>6</v>
      </c>
    </row>
    <row r="715" spans="1:5">
      <c r="A715" s="3">
        <v>110</v>
      </c>
      <c r="B715" s="3">
        <v>4.709530201312334</v>
      </c>
      <c r="C715" s="3">
        <v>4.67</v>
      </c>
      <c r="D715" s="3">
        <v>58</v>
      </c>
      <c r="E715" s="3">
        <v>6.333333333</v>
      </c>
    </row>
    <row r="716" spans="1:5">
      <c r="A716" s="3">
        <v>60</v>
      </c>
      <c r="B716" s="3">
        <v>4.110873864173311</v>
      </c>
      <c r="C716" s="3">
        <v>5.33</v>
      </c>
      <c r="D716" s="3">
        <v>61.33333333</v>
      </c>
      <c r="E716" s="3">
        <v>1</v>
      </c>
    </row>
    <row r="717" spans="1:5">
      <c r="A717" s="3">
        <v>60</v>
      </c>
      <c r="B717" s="3">
        <v>4.110873864173311</v>
      </c>
      <c r="C717" s="3">
        <v>3</v>
      </c>
      <c r="D717" s="3">
        <v>95</v>
      </c>
      <c r="E717" s="3">
        <v>2.333333333</v>
      </c>
    </row>
    <row r="718" spans="1:5">
      <c r="A718" s="3">
        <v>40</v>
      </c>
      <c r="B718" s="3">
        <v>3.713572066704308</v>
      </c>
      <c r="C718" s="3">
        <v>8.380000000000001</v>
      </c>
      <c r="D718" s="3">
        <v>57</v>
      </c>
      <c r="E718" s="3">
        <v>8.333333333000001</v>
      </c>
    </row>
    <row r="719" spans="1:5">
      <c r="A719" s="3">
        <v>50</v>
      </c>
      <c r="B719" s="3">
        <v>3.931825632724326</v>
      </c>
      <c r="C719" s="3">
        <v>4.47</v>
      </c>
      <c r="D719" s="3">
        <v>91.66666667</v>
      </c>
      <c r="E719" s="3">
        <v>2</v>
      </c>
    </row>
    <row r="720" spans="1:5">
      <c r="A720" s="3">
        <v>30</v>
      </c>
      <c r="B720" s="3">
        <v>3.433987204485146</v>
      </c>
      <c r="C720" s="3">
        <v>8.07</v>
      </c>
      <c r="D720" s="3">
        <v>88.16666667</v>
      </c>
      <c r="E720" s="3">
        <v>7.166666667</v>
      </c>
    </row>
    <row r="721" spans="1:5">
      <c r="A721" s="3">
        <v>50</v>
      </c>
      <c r="B721" s="3">
        <v>3.931825632724326</v>
      </c>
      <c r="C721" s="3">
        <v>9.880000000000001</v>
      </c>
      <c r="D721" s="3">
        <v>66</v>
      </c>
      <c r="E721" s="3">
        <v>1</v>
      </c>
    </row>
    <row r="722" spans="1:5">
      <c r="A722" s="3">
        <v>140</v>
      </c>
      <c r="B722" s="3">
        <v>4.948759890378168</v>
      </c>
      <c r="C722" s="3">
        <v>5.27</v>
      </c>
      <c r="D722" s="3">
        <v>62</v>
      </c>
      <c r="E722" s="3">
        <v>5.666666667</v>
      </c>
    </row>
    <row r="723" spans="1:5">
      <c r="A723" s="3">
        <v>40</v>
      </c>
      <c r="B723" s="3">
        <v>3.713572066704308</v>
      </c>
      <c r="C723" s="3">
        <v>6.5</v>
      </c>
      <c r="D723" s="3">
        <v>89</v>
      </c>
      <c r="E723" s="3">
        <v>7</v>
      </c>
    </row>
    <row r="724" spans="1:5">
      <c r="A724" s="3">
        <v>30</v>
      </c>
      <c r="B724" s="3">
        <v>3.433987204485146</v>
      </c>
      <c r="C724" s="3">
        <v>0.967</v>
      </c>
      <c r="D724" s="3">
        <v>74.66666667</v>
      </c>
      <c r="E724" s="3">
        <v>1</v>
      </c>
    </row>
    <row r="725" spans="1:5">
      <c r="A725" s="3">
        <v>80</v>
      </c>
      <c r="B725" s="3">
        <v>4.394449154672439</v>
      </c>
      <c r="C725" s="3">
        <v>8.6</v>
      </c>
      <c r="D725" s="3">
        <v>92.5</v>
      </c>
      <c r="E725" s="3">
        <v>5</v>
      </c>
    </row>
    <row r="726" spans="1:5">
      <c r="A726" s="3">
        <v>50</v>
      </c>
      <c r="B726" s="3">
        <v>3.931825632724326</v>
      </c>
      <c r="C726" s="3">
        <v>6</v>
      </c>
      <c r="D726" s="3">
        <v>87.5</v>
      </c>
      <c r="E726" s="3">
        <v>1.5</v>
      </c>
    </row>
    <row r="727" spans="1:5">
      <c r="A727" s="3">
        <v>110</v>
      </c>
      <c r="B727" s="3">
        <v>4.709530201312334</v>
      </c>
      <c r="C727" s="3">
        <v>-1.6</v>
      </c>
      <c r="D727" s="3">
        <v>83.5</v>
      </c>
      <c r="E727" s="3">
        <v>1</v>
      </c>
    </row>
    <row r="728" spans="1:5">
      <c r="A728" s="3">
        <v>100</v>
      </c>
      <c r="B728" s="3">
        <v>4.61512051684126</v>
      </c>
      <c r="C728" s="3">
        <v>3.05</v>
      </c>
      <c r="D728" s="3">
        <v>61.16666667</v>
      </c>
      <c r="E728" s="3">
        <v>5.333333333</v>
      </c>
    </row>
    <row r="729" spans="1:5">
      <c r="A729" s="3">
        <v>120</v>
      </c>
      <c r="B729" s="3">
        <v>4.795790545596741</v>
      </c>
      <c r="C729" s="3">
        <v>4.02</v>
      </c>
      <c r="D729" s="3">
        <v>81.83333333</v>
      </c>
      <c r="E729" s="3">
        <v>2</v>
      </c>
    </row>
    <row r="730" spans="1:5">
      <c r="A730" s="3">
        <v>80</v>
      </c>
      <c r="B730" s="3">
        <v>4.394449154672439</v>
      </c>
      <c r="C730" s="3">
        <v>9.1</v>
      </c>
      <c r="D730" s="3">
        <v>83</v>
      </c>
      <c r="E730" s="3">
        <v>9</v>
      </c>
    </row>
    <row r="731" spans="1:5">
      <c r="A731" s="3">
        <v>40</v>
      </c>
      <c r="B731" s="3">
        <v>3.713572066704308</v>
      </c>
      <c r="C731" s="3">
        <v>9.08</v>
      </c>
      <c r="D731" s="3">
        <v>97.33333333</v>
      </c>
      <c r="E731" s="3">
        <v>4.166666667</v>
      </c>
    </row>
    <row r="732" spans="1:5">
      <c r="A732" s="3">
        <v>30</v>
      </c>
      <c r="B732" s="3">
        <v>3.433987204485146</v>
      </c>
      <c r="C732" s="3">
        <v>12.1</v>
      </c>
      <c r="D732" s="3">
        <v>58.66666667</v>
      </c>
      <c r="E732" s="3">
        <v>4</v>
      </c>
    </row>
    <row r="733" spans="1:5">
      <c r="A733" s="3">
        <v>50</v>
      </c>
      <c r="B733" s="3">
        <v>3.931825632724326</v>
      </c>
      <c r="C733" s="3">
        <v>2.2</v>
      </c>
      <c r="D733" s="3">
        <v>91</v>
      </c>
      <c r="E733" s="3">
        <v>3</v>
      </c>
    </row>
    <row r="734" spans="1:5">
      <c r="A734" s="3">
        <v>60</v>
      </c>
      <c r="B734" s="3">
        <v>4.110873864173311</v>
      </c>
      <c r="C734" s="3">
        <v>3.77</v>
      </c>
      <c r="D734" s="3">
        <v>88</v>
      </c>
      <c r="E734" s="3">
        <v>3</v>
      </c>
    </row>
    <row r="735" spans="1:5">
      <c r="A735" s="3">
        <v>100</v>
      </c>
      <c r="B735" s="3">
        <v>4.61512051684126</v>
      </c>
      <c r="C735" s="3">
        <v>14.5</v>
      </c>
      <c r="D735" s="3">
        <v>45</v>
      </c>
      <c r="E735" s="3">
        <v>2.666666667</v>
      </c>
    </row>
    <row r="736" spans="1:5">
      <c r="A736" s="3">
        <v>50</v>
      </c>
      <c r="B736" s="3">
        <v>3.931825632724326</v>
      </c>
      <c r="C736" s="3">
        <v>20.495</v>
      </c>
      <c r="D736" s="3">
        <v>38.33333332000001</v>
      </c>
      <c r="E736" s="3">
        <v>5.666666667</v>
      </c>
    </row>
    <row r="737" spans="1:5">
      <c r="A737" s="3">
        <v>80</v>
      </c>
      <c r="B737" s="3">
        <v>4.394449154672439</v>
      </c>
      <c r="C737" s="3">
        <v>12.1</v>
      </c>
      <c r="D737" s="3">
        <v>83.66666667</v>
      </c>
      <c r="E737" s="3">
        <v>2.666666667</v>
      </c>
    </row>
    <row r="738" spans="1:5">
      <c r="A738" s="3">
        <v>80</v>
      </c>
      <c r="B738" s="3">
        <v>4.394449154672439</v>
      </c>
      <c r="C738" s="3">
        <v>9.800000000000001</v>
      </c>
      <c r="D738" s="3">
        <v>51.5</v>
      </c>
      <c r="E738" s="3">
        <v>3.5</v>
      </c>
    </row>
    <row r="739" spans="1:5">
      <c r="A739" s="3">
        <v>190</v>
      </c>
      <c r="B739" s="3">
        <v>5.25227342804663</v>
      </c>
      <c r="C739" s="3">
        <v>6.35</v>
      </c>
      <c r="D739" s="3">
        <v>87.16666667</v>
      </c>
      <c r="E739" s="3">
        <v>1</v>
      </c>
    </row>
    <row r="740" spans="1:5">
      <c r="A740" s="3">
        <v>70</v>
      </c>
      <c r="B740" s="3">
        <v>4.262679877041315</v>
      </c>
      <c r="C740" s="3">
        <v>9.15</v>
      </c>
      <c r="D740" s="3">
        <v>74.5</v>
      </c>
      <c r="E740" s="3">
        <v>10</v>
      </c>
    </row>
    <row r="741" spans="1:5">
      <c r="A741" s="3">
        <v>80</v>
      </c>
      <c r="B741" s="3">
        <v>4.394449154672439</v>
      </c>
      <c r="C741" s="3">
        <v>3.3</v>
      </c>
      <c r="D741" s="3">
        <v>93</v>
      </c>
      <c r="E741" s="3">
        <v>7.166666667</v>
      </c>
    </row>
    <row r="742" spans="1:5">
      <c r="A742" s="3">
        <v>70</v>
      </c>
      <c r="B742" s="3">
        <v>4.262679877041315</v>
      </c>
      <c r="C742" s="3">
        <v>14.7</v>
      </c>
      <c r="D742" s="3">
        <v>54.5</v>
      </c>
      <c r="E742" s="3">
        <v>4.5</v>
      </c>
    </row>
    <row r="743" spans="1:5">
      <c r="A743" s="3">
        <v>60</v>
      </c>
      <c r="B743" s="3">
        <v>4.110873864173311</v>
      </c>
      <c r="C743" s="3">
        <v>19.5</v>
      </c>
      <c r="D743" s="3">
        <v>73.33333333</v>
      </c>
      <c r="E743" s="3">
        <v>3.666666667</v>
      </c>
    </row>
    <row r="744" spans="1:5">
      <c r="A744" s="3">
        <v>230</v>
      </c>
      <c r="B744" s="3">
        <v>5.442417710521793</v>
      </c>
      <c r="C744" s="3">
        <v>4.6</v>
      </c>
      <c r="D744" s="3">
        <v>79.5</v>
      </c>
      <c r="E744" s="3">
        <v>2</v>
      </c>
    </row>
    <row r="745" spans="1:5">
      <c r="A745" s="3">
        <v>60</v>
      </c>
      <c r="B745" s="3">
        <v>4.110873864173311</v>
      </c>
      <c r="C745" s="3">
        <v>11.9</v>
      </c>
      <c r="D745" s="3">
        <v>88</v>
      </c>
      <c r="E745" s="3">
        <v>5</v>
      </c>
    </row>
    <row r="746" spans="1:5">
      <c r="A746" s="3">
        <v>740</v>
      </c>
      <c r="B746" s="3">
        <v>6.608000625296087</v>
      </c>
      <c r="C746" s="3">
        <v>3.07</v>
      </c>
      <c r="D746" s="3">
        <v>74.66666667</v>
      </c>
      <c r="E746" s="3">
        <v>6</v>
      </c>
    </row>
    <row r="747" spans="1:5">
      <c r="A747" s="3">
        <v>50</v>
      </c>
      <c r="B747" s="3">
        <v>3.931825632724326</v>
      </c>
      <c r="C747" s="3">
        <v>6.8</v>
      </c>
      <c r="D747" s="3">
        <v>71.16666667</v>
      </c>
      <c r="E747" s="3">
        <v>4</v>
      </c>
    </row>
    <row r="748" spans="1:5">
      <c r="A748" s="3">
        <v>80</v>
      </c>
      <c r="B748" s="3">
        <v>4.394449154672439</v>
      </c>
      <c r="C748" s="3">
        <v>14.6</v>
      </c>
      <c r="D748" s="3">
        <v>54</v>
      </c>
      <c r="E748" s="3">
        <v>5.333333333</v>
      </c>
    </row>
    <row r="749" spans="1:5">
      <c r="A749" s="3">
        <v>40</v>
      </c>
      <c r="B749" s="3">
        <v>3.713572066704308</v>
      </c>
      <c r="C749" s="3">
        <v>20.495</v>
      </c>
      <c r="D749" s="3">
        <v>56.66666667</v>
      </c>
      <c r="E749" s="3">
        <v>3.833333333</v>
      </c>
    </row>
    <row r="750" spans="1:5">
      <c r="A750" s="3">
        <v>50</v>
      </c>
      <c r="B750" s="3">
        <v>3.931825632724326</v>
      </c>
      <c r="C750" s="3">
        <v>6.1</v>
      </c>
      <c r="D750" s="3">
        <v>75.75</v>
      </c>
      <c r="E750" s="3">
        <v>8.5</v>
      </c>
    </row>
    <row r="751" spans="1:5">
      <c r="A751" s="3">
        <v>90</v>
      </c>
      <c r="B751" s="3">
        <v>4.51085950651685</v>
      </c>
      <c r="C751" s="3">
        <v>20.495</v>
      </c>
      <c r="D751" s="3">
        <v>52.33333333</v>
      </c>
      <c r="E751" s="3">
        <v>6.333333333</v>
      </c>
    </row>
    <row r="752" spans="1:5">
      <c r="A752" s="3">
        <v>120</v>
      </c>
      <c r="B752" s="3">
        <v>4.795790545596741</v>
      </c>
      <c r="C752" s="3">
        <v>2.42</v>
      </c>
      <c r="D752" s="3">
        <v>83.5</v>
      </c>
      <c r="E752" s="3">
        <v>1</v>
      </c>
    </row>
    <row r="753" spans="1:5">
      <c r="A753" s="3">
        <v>40</v>
      </c>
      <c r="B753" s="3">
        <v>3.713572066704308</v>
      </c>
      <c r="C753" s="3">
        <v>4.57</v>
      </c>
      <c r="D753" s="3">
        <v>80.33333333</v>
      </c>
      <c r="E753" s="3">
        <v>2</v>
      </c>
    </row>
    <row r="754" spans="1:5">
      <c r="A754" s="3">
        <v>90</v>
      </c>
      <c r="B754" s="3">
        <v>4.51085950651685</v>
      </c>
      <c r="C754" s="3">
        <v>9.6</v>
      </c>
      <c r="D754" s="3">
        <v>93.33333333</v>
      </c>
      <c r="E754" s="3">
        <v>8.666666666999999</v>
      </c>
    </row>
    <row r="755" spans="1:5">
      <c r="A755" s="3">
        <v>40</v>
      </c>
      <c r="B755" s="3">
        <v>3.713572066704308</v>
      </c>
      <c r="C755" s="3">
        <v>10.9</v>
      </c>
      <c r="D755" s="3">
        <v>81.5</v>
      </c>
      <c r="E755" s="3">
        <v>9</v>
      </c>
    </row>
    <row r="756" spans="1:5">
      <c r="A756" s="3">
        <v>50</v>
      </c>
      <c r="B756" s="3">
        <v>3.931825632724326</v>
      </c>
      <c r="C756" s="3">
        <v>8.67</v>
      </c>
      <c r="D756" s="3">
        <v>87</v>
      </c>
      <c r="E756" s="3">
        <v>3.333333333</v>
      </c>
    </row>
    <row r="757" spans="1:5">
      <c r="A757" s="3">
        <v>50</v>
      </c>
      <c r="B757" s="3">
        <v>3.931825632724326</v>
      </c>
      <c r="C757" s="3">
        <v>3.2</v>
      </c>
      <c r="D757" s="3">
        <v>82</v>
      </c>
      <c r="E757" s="3">
        <v>4</v>
      </c>
    </row>
    <row r="758" spans="1:5">
      <c r="A758" s="3">
        <v>30</v>
      </c>
      <c r="B758" s="3">
        <v>3.433987204485146</v>
      </c>
      <c r="C758" s="3">
        <v>-4.3</v>
      </c>
      <c r="D758" s="3">
        <v>90</v>
      </c>
      <c r="E758" s="3">
        <v>1</v>
      </c>
    </row>
    <row r="759" spans="1:5">
      <c r="A759" s="3">
        <v>70</v>
      </c>
      <c r="B759" s="3">
        <v>4.262679877041315</v>
      </c>
      <c r="C759" s="3">
        <v>17.1</v>
      </c>
      <c r="D759" s="3">
        <v>81</v>
      </c>
      <c r="E759" s="3">
        <v>2</v>
      </c>
    </row>
    <row r="760" spans="1:5">
      <c r="A760" s="3">
        <v>40</v>
      </c>
      <c r="B760" s="3">
        <v>3.713572066704308</v>
      </c>
      <c r="C760" s="3">
        <v>10.3</v>
      </c>
      <c r="D760" s="3">
        <v>93.5</v>
      </c>
      <c r="E760" s="3">
        <v>8.5</v>
      </c>
    </row>
    <row r="761" spans="1:5">
      <c r="A761" s="3">
        <v>40</v>
      </c>
      <c r="B761" s="3">
        <v>3.713572066704308</v>
      </c>
      <c r="C761" s="3">
        <v>6.52</v>
      </c>
      <c r="D761" s="3">
        <v>73.66666667</v>
      </c>
      <c r="E761" s="3">
        <v>2.166666667</v>
      </c>
    </row>
    <row r="762" spans="1:5">
      <c r="A762" s="3">
        <v>50</v>
      </c>
      <c r="B762" s="3">
        <v>3.931825632724326</v>
      </c>
      <c r="C762" s="3">
        <v>4.17</v>
      </c>
      <c r="D762" s="3">
        <v>92.04761904999999</v>
      </c>
      <c r="E762" s="3">
        <v>4.857142857</v>
      </c>
    </row>
    <row r="763" spans="1:5">
      <c r="A763" s="3">
        <v>50</v>
      </c>
      <c r="B763" s="3">
        <v>3.931825632724326</v>
      </c>
      <c r="C763" s="3">
        <v>-3.5</v>
      </c>
      <c r="D763" s="3">
        <v>90</v>
      </c>
      <c r="E763" s="3">
        <v>2</v>
      </c>
    </row>
    <row r="764" spans="1:5">
      <c r="A764" s="3">
        <v>60</v>
      </c>
      <c r="B764" s="3">
        <v>4.110873864173311</v>
      </c>
      <c r="C764" s="3">
        <v>14.9</v>
      </c>
      <c r="D764" s="3">
        <v>88.33333333</v>
      </c>
      <c r="E764" s="3">
        <v>2</v>
      </c>
    </row>
    <row r="765" spans="1:5">
      <c r="A765" s="3">
        <v>50</v>
      </c>
      <c r="B765" s="3">
        <v>3.931825632724326</v>
      </c>
      <c r="C765" s="3">
        <v>13.2</v>
      </c>
      <c r="D765" s="3">
        <v>93</v>
      </c>
      <c r="E765" s="3">
        <v>3.5</v>
      </c>
    </row>
    <row r="766" spans="1:5">
      <c r="A766" s="3">
        <v>130</v>
      </c>
      <c r="B766" s="3">
        <v>4.875197323201151</v>
      </c>
      <c r="C766" s="3">
        <v>4.8</v>
      </c>
      <c r="D766" s="3">
        <v>95</v>
      </c>
      <c r="E766" s="3">
        <v>2</v>
      </c>
    </row>
    <row r="767" spans="1:5">
      <c r="A767" s="3">
        <v>60</v>
      </c>
      <c r="B767" s="3">
        <v>4.110873864173311</v>
      </c>
      <c r="C767" s="3">
        <v>11.9</v>
      </c>
      <c r="D767" s="3">
        <v>55.33333333</v>
      </c>
      <c r="E767" s="3">
        <v>3</v>
      </c>
    </row>
    <row r="768" spans="1:5">
      <c r="A768" s="3">
        <v>50</v>
      </c>
      <c r="B768" s="3">
        <v>3.931825632724326</v>
      </c>
      <c r="C768" s="3">
        <v>8.800000000000001</v>
      </c>
      <c r="D768" s="3">
        <v>89</v>
      </c>
      <c r="E768" s="3">
        <v>6</v>
      </c>
    </row>
    <row r="769" spans="1:5">
      <c r="A769" s="3">
        <v>60</v>
      </c>
      <c r="B769" s="3">
        <v>4.110873864173311</v>
      </c>
      <c r="C769" s="3">
        <v>1.05</v>
      </c>
      <c r="D769" s="3">
        <v>81</v>
      </c>
      <c r="E769" s="3">
        <v>3.5</v>
      </c>
    </row>
    <row r="770" spans="1:5">
      <c r="A770" s="3">
        <v>50</v>
      </c>
      <c r="B770" s="3">
        <v>3.931825632724326</v>
      </c>
      <c r="C770" s="3">
        <v>8.77</v>
      </c>
      <c r="D770" s="3">
        <v>80.33333333</v>
      </c>
      <c r="E770" s="3">
        <v>5</v>
      </c>
    </row>
    <row r="771" spans="1:5">
      <c r="A771" s="3">
        <v>120</v>
      </c>
      <c r="B771" s="3">
        <v>4.795790545596741</v>
      </c>
      <c r="C771" s="3">
        <v>10.8</v>
      </c>
      <c r="D771" s="3">
        <v>71</v>
      </c>
      <c r="E771" s="3">
        <v>9</v>
      </c>
    </row>
    <row r="772" spans="1:5">
      <c r="A772" s="3">
        <v>50</v>
      </c>
      <c r="B772" s="3">
        <v>3.931825632724326</v>
      </c>
      <c r="C772" s="3">
        <v>6.9</v>
      </c>
      <c r="D772" s="3">
        <v>75</v>
      </c>
      <c r="E772" s="3">
        <v>4</v>
      </c>
    </row>
    <row r="773" spans="1:5">
      <c r="A773" s="3">
        <v>30</v>
      </c>
      <c r="B773" s="3">
        <v>3.433987204485146</v>
      </c>
      <c r="C773" s="3">
        <v>8.15</v>
      </c>
      <c r="D773" s="3">
        <v>82</v>
      </c>
      <c r="E773" s="3">
        <v>10.5</v>
      </c>
    </row>
    <row r="774" spans="1:5">
      <c r="A774" s="3">
        <v>60</v>
      </c>
      <c r="B774" s="3">
        <v>4.110873864173311</v>
      </c>
      <c r="C774" s="3">
        <v>9.300000000000001</v>
      </c>
      <c r="D774" s="3">
        <v>71</v>
      </c>
      <c r="E774" s="3">
        <v>4</v>
      </c>
    </row>
    <row r="775" spans="1:5">
      <c r="A775" s="3">
        <v>60</v>
      </c>
      <c r="B775" s="3">
        <v>4.110873864173311</v>
      </c>
      <c r="C775" s="3">
        <v>5.63</v>
      </c>
      <c r="D775" s="3">
        <v>79.66666667</v>
      </c>
      <c r="E775" s="3">
        <v>2</v>
      </c>
    </row>
    <row r="776" spans="1:5">
      <c r="A776" s="3">
        <v>270</v>
      </c>
      <c r="B776" s="3">
        <v>5.602118820879701</v>
      </c>
      <c r="C776" s="3">
        <v>2.88</v>
      </c>
      <c r="D776" s="3">
        <v>75.83333333</v>
      </c>
      <c r="E776" s="3">
        <v>6</v>
      </c>
    </row>
    <row r="777" spans="1:5">
      <c r="A777" s="3">
        <v>50</v>
      </c>
      <c r="B777" s="3">
        <v>3.931825632724326</v>
      </c>
      <c r="C777" s="3">
        <v>9.800000000000001</v>
      </c>
      <c r="D777" s="3">
        <v>89</v>
      </c>
      <c r="E777" s="3">
        <v>5.833333333</v>
      </c>
    </row>
    <row r="778" spans="1:5">
      <c r="A778" s="3">
        <v>50</v>
      </c>
      <c r="B778" s="3">
        <v>3.931825632724326</v>
      </c>
      <c r="C778" s="3">
        <v>5.67</v>
      </c>
      <c r="D778" s="3">
        <v>93.33333333</v>
      </c>
      <c r="E778" s="3">
        <v>2.666666667</v>
      </c>
    </row>
    <row r="779" spans="1:5">
      <c r="A779" s="3">
        <v>190</v>
      </c>
      <c r="B779" s="3">
        <v>5.25227342804663</v>
      </c>
      <c r="C779" s="3">
        <v>20.495</v>
      </c>
      <c r="D779" s="3">
        <v>47</v>
      </c>
      <c r="E779" s="3">
        <v>2.5</v>
      </c>
    </row>
    <row r="780" spans="1:5">
      <c r="A780" s="3">
        <v>100</v>
      </c>
      <c r="B780" s="3">
        <v>4.61512051684126</v>
      </c>
      <c r="C780" s="3">
        <v>7.73</v>
      </c>
      <c r="D780" s="3">
        <v>66</v>
      </c>
      <c r="E780" s="3">
        <v>9.333333333000001</v>
      </c>
    </row>
    <row r="781" spans="1:5">
      <c r="A781" s="3">
        <v>50</v>
      </c>
      <c r="B781" s="3">
        <v>3.931825632724326</v>
      </c>
      <c r="C781" s="3">
        <v>-0.433</v>
      </c>
      <c r="D781" s="3">
        <v>99.83333333</v>
      </c>
      <c r="E781" s="3">
        <v>2</v>
      </c>
    </row>
    <row r="782" spans="1:5">
      <c r="A782" s="3">
        <v>60</v>
      </c>
      <c r="B782" s="3">
        <v>4.110873864173311</v>
      </c>
      <c r="C782" s="3">
        <v>3.85</v>
      </c>
      <c r="D782" s="3">
        <v>86.5</v>
      </c>
      <c r="E782" s="3">
        <v>2</v>
      </c>
    </row>
    <row r="783" spans="1:5">
      <c r="A783" s="3">
        <v>40</v>
      </c>
      <c r="B783" s="3">
        <v>3.713572066704308</v>
      </c>
      <c r="C783" s="3">
        <v>-1.4</v>
      </c>
      <c r="D783" s="3">
        <v>96</v>
      </c>
      <c r="E783" s="3">
        <v>1</v>
      </c>
    </row>
    <row r="784" spans="1:5">
      <c r="A784" s="3">
        <v>40</v>
      </c>
      <c r="B784" s="3">
        <v>3.713572066704308</v>
      </c>
      <c r="C784" s="3">
        <v>5.42</v>
      </c>
      <c r="D784" s="3">
        <v>82.16666667</v>
      </c>
      <c r="E784" s="3">
        <v>5</v>
      </c>
    </row>
    <row r="785" spans="1:5">
      <c r="A785" s="3">
        <v>90</v>
      </c>
      <c r="B785" s="3">
        <v>4.51085950651685</v>
      </c>
      <c r="C785" s="3">
        <v>8</v>
      </c>
      <c r="D785" s="3">
        <v>78.83333333</v>
      </c>
      <c r="E785" s="3">
        <v>3.833333333</v>
      </c>
    </row>
    <row r="786" spans="1:5">
      <c r="A786" s="3">
        <v>110</v>
      </c>
      <c r="B786" s="3">
        <v>4.709530201312334</v>
      </c>
      <c r="C786" s="3">
        <v>8.470000000000001</v>
      </c>
      <c r="D786" s="3">
        <v>91.66666667</v>
      </c>
      <c r="E786" s="3">
        <v>1</v>
      </c>
    </row>
    <row r="787" spans="1:5">
      <c r="A787" s="3">
        <v>110</v>
      </c>
      <c r="B787" s="3">
        <v>4.709530201312334</v>
      </c>
      <c r="C787" s="3">
        <v>10.7</v>
      </c>
      <c r="D787" s="3">
        <v>65</v>
      </c>
      <c r="E787" s="3">
        <v>4.5</v>
      </c>
    </row>
    <row r="788" spans="1:5">
      <c r="A788" s="3">
        <v>100</v>
      </c>
      <c r="B788" s="3">
        <v>4.61512051684126</v>
      </c>
      <c r="C788" s="3">
        <v>16</v>
      </c>
      <c r="D788" s="3">
        <v>50.33333333</v>
      </c>
      <c r="E788" s="3">
        <v>4.833333333</v>
      </c>
    </row>
    <row r="789" spans="1:5">
      <c r="A789" s="3">
        <v>50</v>
      </c>
      <c r="B789" s="3">
        <v>3.931825632724326</v>
      </c>
      <c r="C789" s="3">
        <v>9.25</v>
      </c>
      <c r="D789" s="3">
        <v>88.5</v>
      </c>
      <c r="E789" s="3">
        <v>5</v>
      </c>
    </row>
    <row r="790" spans="1:5">
      <c r="A790" s="3">
        <v>80</v>
      </c>
      <c r="B790" s="3">
        <v>4.394449154672439</v>
      </c>
      <c r="C790" s="3">
        <v>11</v>
      </c>
      <c r="D790" s="3">
        <v>84</v>
      </c>
      <c r="E790" s="3">
        <v>3</v>
      </c>
    </row>
    <row r="791" spans="1:5">
      <c r="A791" s="3">
        <v>100</v>
      </c>
      <c r="B791" s="3">
        <v>4.61512051684126</v>
      </c>
      <c r="C791" s="3">
        <v>4.45</v>
      </c>
      <c r="D791" s="3">
        <v>74.83333333</v>
      </c>
      <c r="E791" s="3">
        <v>4</v>
      </c>
    </row>
    <row r="792" spans="1:5">
      <c r="A792" s="3">
        <v>130</v>
      </c>
      <c r="B792" s="3">
        <v>4.875197323201151</v>
      </c>
      <c r="C792" s="3">
        <v>3.7</v>
      </c>
      <c r="D792" s="3">
        <v>90</v>
      </c>
      <c r="E792" s="3">
        <v>2</v>
      </c>
    </row>
    <row r="793" spans="1:5">
      <c r="A793" s="3">
        <v>70</v>
      </c>
      <c r="B793" s="3">
        <v>4.262679877041315</v>
      </c>
      <c r="C793" s="3">
        <v>20.495</v>
      </c>
      <c r="D793" s="3">
        <v>38.33333332000001</v>
      </c>
      <c r="E793" s="3">
        <v>5</v>
      </c>
    </row>
    <row r="794" spans="1:5">
      <c r="A794" s="3">
        <v>30</v>
      </c>
      <c r="B794" s="3">
        <v>3.433987204485146</v>
      </c>
      <c r="C794" s="3">
        <v>4.67</v>
      </c>
      <c r="D794" s="3">
        <v>84.66666667</v>
      </c>
      <c r="E794" s="3">
        <v>2.333333333</v>
      </c>
    </row>
    <row r="795" spans="1:5">
      <c r="A795" s="3">
        <v>30</v>
      </c>
      <c r="B795" s="3">
        <v>3.433987204485146</v>
      </c>
      <c r="C795" s="3">
        <v>0.35</v>
      </c>
      <c r="D795" s="3">
        <v>89.83333333</v>
      </c>
      <c r="E795" s="3">
        <v>2</v>
      </c>
    </row>
    <row r="796" spans="1:5">
      <c r="A796" s="3">
        <v>20</v>
      </c>
      <c r="B796" s="3">
        <v>3.044522437723423</v>
      </c>
      <c r="C796" s="3">
        <v>17.4</v>
      </c>
      <c r="D796" s="3">
        <v>38.33333332000001</v>
      </c>
      <c r="E796" s="3">
        <v>4</v>
      </c>
    </row>
    <row r="797" spans="1:5">
      <c r="A797" s="3">
        <v>50</v>
      </c>
      <c r="B797" s="3">
        <v>3.931825632724326</v>
      </c>
      <c r="C797" s="3">
        <v>5.4</v>
      </c>
      <c r="D797" s="3">
        <v>53</v>
      </c>
      <c r="E797" s="3">
        <v>9</v>
      </c>
    </row>
    <row r="798" spans="1:5">
      <c r="A798" s="3">
        <v>50</v>
      </c>
      <c r="B798" s="3">
        <v>3.931825632724326</v>
      </c>
      <c r="C798" s="3">
        <v>2.75</v>
      </c>
      <c r="D798" s="3">
        <v>85.16666667</v>
      </c>
      <c r="E798" s="3">
        <v>5.166666667</v>
      </c>
    </row>
    <row r="799" spans="1:5">
      <c r="A799" s="3">
        <v>40</v>
      </c>
      <c r="B799" s="3">
        <v>3.713572066704308</v>
      </c>
      <c r="C799" s="3">
        <v>8.029999999999999</v>
      </c>
      <c r="D799" s="3">
        <v>83.83333333</v>
      </c>
      <c r="E799" s="3">
        <v>10.75</v>
      </c>
    </row>
    <row r="800" spans="1:5">
      <c r="A800" s="3">
        <v>70</v>
      </c>
      <c r="B800" s="3">
        <v>4.262679877041315</v>
      </c>
      <c r="C800" s="3">
        <v>5.1</v>
      </c>
      <c r="D800" s="3">
        <v>91.66666667</v>
      </c>
      <c r="E800" s="3">
        <v>5</v>
      </c>
    </row>
    <row r="801" spans="1:5">
      <c r="A801" s="3">
        <v>410</v>
      </c>
      <c r="B801" s="3">
        <v>6.018593214496234</v>
      </c>
      <c r="C801" s="3">
        <v>15.9</v>
      </c>
      <c r="D801" s="3">
        <v>93</v>
      </c>
      <c r="E801" s="3">
        <v>3.666666667</v>
      </c>
    </row>
    <row r="802" spans="1:5">
      <c r="A802" s="3">
        <v>60</v>
      </c>
      <c r="B802" s="3">
        <v>4.110873864173311</v>
      </c>
      <c r="C802" s="3">
        <v>7.52</v>
      </c>
      <c r="D802" s="3">
        <v>97</v>
      </c>
      <c r="E802" s="3">
        <v>6.166666667</v>
      </c>
    </row>
    <row r="803" spans="1:5">
      <c r="A803" s="3">
        <v>50</v>
      </c>
      <c r="B803" s="3">
        <v>3.931825632724326</v>
      </c>
      <c r="C803" s="3">
        <v>8.73</v>
      </c>
      <c r="D803" s="3">
        <v>70.33333333</v>
      </c>
      <c r="E803" s="3">
        <v>5</v>
      </c>
    </row>
    <row r="804" spans="1:5">
      <c r="A804" s="3">
        <v>50</v>
      </c>
      <c r="B804" s="3">
        <v>3.931825632724326</v>
      </c>
      <c r="C804" s="3">
        <v>2.3</v>
      </c>
      <c r="D804" s="3">
        <v>96.5</v>
      </c>
      <c r="E804" s="3">
        <v>1</v>
      </c>
    </row>
    <row r="805" spans="1:5">
      <c r="A805" s="3">
        <v>50</v>
      </c>
      <c r="B805" s="3">
        <v>3.931825632724326</v>
      </c>
      <c r="C805" s="3">
        <v>7.8</v>
      </c>
      <c r="D805" s="3">
        <v>81</v>
      </c>
      <c r="E805" s="3">
        <v>10.5</v>
      </c>
    </row>
    <row r="806" spans="1:5">
      <c r="A806" s="3">
        <v>160</v>
      </c>
      <c r="B806" s="3">
        <v>5.081404364984463</v>
      </c>
      <c r="C806" s="3">
        <v>5.2</v>
      </c>
      <c r="D806" s="3">
        <v>88.66666667</v>
      </c>
      <c r="E806" s="3">
        <v>4.666666667</v>
      </c>
    </row>
    <row r="807" spans="1:5">
      <c r="A807" s="3">
        <v>50</v>
      </c>
      <c r="B807" s="3">
        <v>3.931825632724326</v>
      </c>
      <c r="C807" s="3">
        <v>2.13</v>
      </c>
      <c r="D807" s="3">
        <v>80.66666667</v>
      </c>
      <c r="E807" s="3">
        <v>6.833333333</v>
      </c>
    </row>
    <row r="808" spans="1:5">
      <c r="A808" s="3">
        <v>430</v>
      </c>
      <c r="B808" s="3">
        <v>6.066108090103747</v>
      </c>
      <c r="C808" s="3">
        <v>-2.58</v>
      </c>
      <c r="D808" s="3">
        <v>78.83333333</v>
      </c>
      <c r="E808" s="3">
        <v>2.833333333</v>
      </c>
    </row>
    <row r="809" spans="1:5">
      <c r="A809" s="3">
        <v>50</v>
      </c>
      <c r="B809" s="3">
        <v>3.931825632724326</v>
      </c>
      <c r="C809" s="3">
        <v>5.08</v>
      </c>
      <c r="D809" s="3">
        <v>80.83333333</v>
      </c>
      <c r="E809" s="3">
        <v>5</v>
      </c>
    </row>
    <row r="810" spans="1:5">
      <c r="A810" s="3">
        <v>100</v>
      </c>
      <c r="B810" s="3">
        <v>4.61512051684126</v>
      </c>
      <c r="C810" s="3">
        <v>2.9</v>
      </c>
      <c r="D810" s="3">
        <v>93</v>
      </c>
      <c r="E810" s="3">
        <v>4</v>
      </c>
    </row>
    <row r="811" spans="1:5">
      <c r="A811" s="3">
        <v>60</v>
      </c>
      <c r="B811" s="3">
        <v>4.110873864173311</v>
      </c>
      <c r="C811" s="3">
        <v>4.37</v>
      </c>
      <c r="D811" s="3">
        <v>76.66666667</v>
      </c>
      <c r="E811" s="3">
        <v>1.333333333</v>
      </c>
    </row>
    <row r="812" spans="1:5">
      <c r="A812" s="3">
        <v>50</v>
      </c>
      <c r="B812" s="3">
        <v>3.931825632724326</v>
      </c>
      <c r="C812" s="3">
        <v>-0.5</v>
      </c>
      <c r="D812" s="3">
        <v>100</v>
      </c>
      <c r="E812" s="3">
        <v>1</v>
      </c>
    </row>
    <row r="813" spans="1:5">
      <c r="A813" s="3">
        <v>200</v>
      </c>
      <c r="B813" s="3">
        <v>5.303304908059076</v>
      </c>
      <c r="C813" s="3">
        <v>12.9</v>
      </c>
      <c r="D813" s="3">
        <v>50</v>
      </c>
      <c r="E813" s="3">
        <v>3.5</v>
      </c>
    </row>
    <row r="814" spans="1:5">
      <c r="A814" s="3">
        <v>50</v>
      </c>
      <c r="B814" s="3">
        <v>3.931825632724326</v>
      </c>
      <c r="C814" s="3">
        <v>7.8</v>
      </c>
      <c r="D814" s="3">
        <v>93.5</v>
      </c>
      <c r="E814" s="3">
        <v>1</v>
      </c>
    </row>
    <row r="815" spans="1:5">
      <c r="A815" s="3">
        <v>70</v>
      </c>
      <c r="B815" s="3">
        <v>4.262679877041315</v>
      </c>
      <c r="C815" s="3">
        <v>6.45</v>
      </c>
      <c r="D815" s="3">
        <v>74.5</v>
      </c>
      <c r="E815" s="3">
        <v>4.333333333</v>
      </c>
    </row>
    <row r="816" spans="1:5">
      <c r="A816" s="3">
        <v>100</v>
      </c>
      <c r="B816" s="3">
        <v>4.61512051684126</v>
      </c>
      <c r="C816" s="3">
        <v>5.9</v>
      </c>
      <c r="D816" s="3">
        <v>79</v>
      </c>
      <c r="E816" s="3">
        <v>3</v>
      </c>
    </row>
    <row r="817" spans="1:5">
      <c r="A817" s="3">
        <v>50</v>
      </c>
      <c r="B817" s="3">
        <v>3.931825632724326</v>
      </c>
      <c r="C817" s="3">
        <v>5.45</v>
      </c>
      <c r="D817" s="3">
        <v>86</v>
      </c>
      <c r="E817" s="3">
        <v>3.5</v>
      </c>
    </row>
    <row r="818" spans="1:5">
      <c r="A818" s="3">
        <v>110</v>
      </c>
      <c r="B818" s="3">
        <v>4.709530201312334</v>
      </c>
      <c r="C818" s="3">
        <v>14.4</v>
      </c>
      <c r="D818" s="3">
        <v>44.5</v>
      </c>
      <c r="E818" s="3">
        <v>2.5</v>
      </c>
    </row>
    <row r="819" spans="1:5">
      <c r="A819" s="3">
        <v>50</v>
      </c>
      <c r="B819" s="3">
        <v>3.931825632724326</v>
      </c>
      <c r="C819" s="3">
        <v>5.25</v>
      </c>
      <c r="D819" s="3">
        <v>92</v>
      </c>
      <c r="E819" s="3">
        <v>1</v>
      </c>
    </row>
    <row r="820" spans="1:5">
      <c r="A820" s="3">
        <v>50</v>
      </c>
      <c r="B820" s="3">
        <v>3.931825632724326</v>
      </c>
      <c r="C820" s="3">
        <v>0.65</v>
      </c>
      <c r="D820" s="3">
        <v>95.33333333</v>
      </c>
      <c r="E820" s="3">
        <v>1</v>
      </c>
    </row>
    <row r="821" spans="1:5">
      <c r="A821" s="3">
        <v>100</v>
      </c>
      <c r="B821" s="3">
        <v>4.61512051684126</v>
      </c>
      <c r="C821" s="3">
        <v>13.4</v>
      </c>
      <c r="D821" s="3">
        <v>67</v>
      </c>
      <c r="E821" s="3">
        <v>5.5</v>
      </c>
    </row>
    <row r="822" spans="1:5">
      <c r="A822" s="3">
        <v>40</v>
      </c>
      <c r="B822" s="3">
        <v>3.713572066704308</v>
      </c>
      <c r="C822" s="3">
        <v>1.3</v>
      </c>
      <c r="D822" s="3">
        <v>92</v>
      </c>
      <c r="E822" s="3">
        <v>3</v>
      </c>
    </row>
    <row r="823" spans="1:5">
      <c r="A823" s="3">
        <v>50</v>
      </c>
      <c r="B823" s="3">
        <v>3.931825632724326</v>
      </c>
      <c r="C823" s="3">
        <v>4.28</v>
      </c>
      <c r="D823" s="3">
        <v>91.33333333</v>
      </c>
      <c r="E823" s="3">
        <v>1.833333333</v>
      </c>
    </row>
    <row r="824" spans="1:5">
      <c r="A824" s="3">
        <v>230</v>
      </c>
      <c r="B824" s="3">
        <v>5.442417710521793</v>
      </c>
      <c r="C824" s="3">
        <v>5.2</v>
      </c>
      <c r="D824" s="3">
        <v>65.5</v>
      </c>
      <c r="E824" s="3">
        <v>6.5</v>
      </c>
    </row>
    <row r="825" spans="1:5">
      <c r="A825" s="3">
        <v>110</v>
      </c>
      <c r="B825" s="3">
        <v>4.709530201312334</v>
      </c>
      <c r="C825" s="3">
        <v>7.95</v>
      </c>
      <c r="D825" s="3">
        <v>84</v>
      </c>
      <c r="E825" s="3">
        <v>2</v>
      </c>
    </row>
    <row r="826" spans="1:5">
      <c r="A826" s="3">
        <v>90</v>
      </c>
      <c r="B826" s="3">
        <v>4.51085950651685</v>
      </c>
      <c r="C826" s="3">
        <v>14.9</v>
      </c>
      <c r="D826" s="3">
        <v>67.5</v>
      </c>
      <c r="E826" s="3">
        <v>5</v>
      </c>
    </row>
    <row r="827" spans="1:5">
      <c r="A827" s="3">
        <v>120</v>
      </c>
      <c r="B827" s="3">
        <v>4.795790545596741</v>
      </c>
      <c r="C827" s="3">
        <v>8.869999999999999</v>
      </c>
      <c r="D827" s="3">
        <v>87.66666667</v>
      </c>
      <c r="E827" s="3">
        <v>6.666666667</v>
      </c>
    </row>
    <row r="828" spans="1:5">
      <c r="A828" s="3">
        <v>50</v>
      </c>
      <c r="B828" s="3">
        <v>3.931825632724326</v>
      </c>
      <c r="C828" s="3">
        <v>15.1</v>
      </c>
      <c r="D828" s="3">
        <v>77.66666667</v>
      </c>
      <c r="E828" s="3">
        <v>4.333333333</v>
      </c>
    </row>
    <row r="829" spans="1:5">
      <c r="A829" s="3">
        <v>50</v>
      </c>
      <c r="B829" s="3">
        <v>3.931825632724326</v>
      </c>
      <c r="C829" s="3">
        <v>6.25</v>
      </c>
      <c r="D829" s="3">
        <v>92</v>
      </c>
      <c r="E829" s="3">
        <v>6</v>
      </c>
    </row>
    <row r="830" spans="1:5">
      <c r="A830" s="3">
        <v>80</v>
      </c>
      <c r="B830" s="3">
        <v>4.394449154672439</v>
      </c>
      <c r="C830" s="3">
        <v>10.6</v>
      </c>
      <c r="D830" s="3">
        <v>79.66666667</v>
      </c>
      <c r="E830" s="3">
        <v>5.333333333</v>
      </c>
    </row>
    <row r="831" spans="1:5">
      <c r="A831" s="3">
        <v>50</v>
      </c>
      <c r="B831" s="3">
        <v>3.931825632724326</v>
      </c>
      <c r="C831" s="3">
        <v>3.54</v>
      </c>
      <c r="D831" s="3">
        <v>80.55555556</v>
      </c>
      <c r="E831" s="3">
        <v>3.777777778</v>
      </c>
    </row>
    <row r="832" spans="1:5">
      <c r="A832" s="3">
        <v>60</v>
      </c>
      <c r="B832" s="3">
        <v>4.110873864173311</v>
      </c>
      <c r="C832" s="3">
        <v>2.55</v>
      </c>
      <c r="D832" s="3">
        <v>96.5</v>
      </c>
      <c r="E832" s="3">
        <v>2</v>
      </c>
    </row>
    <row r="833" spans="1:5">
      <c r="A833" s="3">
        <v>60</v>
      </c>
      <c r="B833" s="3">
        <v>4.110873864173311</v>
      </c>
      <c r="C833" s="3">
        <v>2.83</v>
      </c>
      <c r="D833" s="3">
        <v>94</v>
      </c>
      <c r="E833" s="3">
        <v>6.166666667</v>
      </c>
    </row>
    <row r="834" spans="1:5">
      <c r="A834" s="3">
        <v>60</v>
      </c>
      <c r="B834" s="3">
        <v>4.110873864173311</v>
      </c>
      <c r="C834" s="3">
        <v>2.18</v>
      </c>
      <c r="D834" s="3">
        <v>93.33333333</v>
      </c>
      <c r="E834" s="3">
        <v>2.833333333</v>
      </c>
    </row>
    <row r="835" spans="1:5">
      <c r="A835" s="3">
        <v>40</v>
      </c>
      <c r="B835" s="3">
        <v>3.713572066704308</v>
      </c>
      <c r="C835" s="3">
        <v>12</v>
      </c>
      <c r="D835" s="3">
        <v>62.66666667</v>
      </c>
      <c r="E835" s="3">
        <v>1</v>
      </c>
    </row>
    <row r="836" spans="1:5">
      <c r="A836" s="3">
        <v>90</v>
      </c>
      <c r="B836" s="3">
        <v>4.51085950651685</v>
      </c>
      <c r="C836" s="3">
        <v>13.1</v>
      </c>
      <c r="D836" s="3">
        <v>58.66666667</v>
      </c>
      <c r="E836" s="3">
        <v>6</v>
      </c>
    </row>
    <row r="837" spans="1:5">
      <c r="A837" s="3">
        <v>50</v>
      </c>
      <c r="B837" s="3">
        <v>3.931825632724326</v>
      </c>
      <c r="C837" s="3">
        <v>7.37</v>
      </c>
      <c r="D837" s="3">
        <v>76</v>
      </c>
      <c r="E837" s="3">
        <v>1</v>
      </c>
    </row>
    <row r="838" spans="1:5">
      <c r="A838" s="3">
        <v>90</v>
      </c>
      <c r="B838" s="3">
        <v>4.51085950651685</v>
      </c>
      <c r="C838" s="3">
        <v>5.72</v>
      </c>
      <c r="D838" s="3">
        <v>91.5</v>
      </c>
      <c r="E838" s="3">
        <v>2.833333333</v>
      </c>
    </row>
    <row r="839" spans="1:5">
      <c r="A839" s="3">
        <v>40</v>
      </c>
      <c r="B839" s="3">
        <v>3.713572066704308</v>
      </c>
      <c r="C839" s="3">
        <v>2.93</v>
      </c>
      <c r="D839" s="3">
        <v>91.66666667</v>
      </c>
      <c r="E839" s="3">
        <v>5.333333333</v>
      </c>
    </row>
    <row r="840" spans="1:5">
      <c r="A840" s="3">
        <v>190</v>
      </c>
      <c r="B840" s="3">
        <v>5.25227342804663</v>
      </c>
      <c r="C840" s="3">
        <v>8.23</v>
      </c>
      <c r="D840" s="3">
        <v>77</v>
      </c>
      <c r="E840" s="3">
        <v>4</v>
      </c>
    </row>
    <row r="841" spans="1:5">
      <c r="A841" s="3">
        <v>100</v>
      </c>
      <c r="B841" s="3">
        <v>4.61512051684126</v>
      </c>
      <c r="C841" s="3">
        <v>3.35</v>
      </c>
      <c r="D841" s="3">
        <v>88.5</v>
      </c>
      <c r="E841" s="3">
        <v>3</v>
      </c>
    </row>
    <row r="842" spans="1:5">
      <c r="A842" s="3">
        <v>90</v>
      </c>
      <c r="B842" s="3">
        <v>4.51085950651685</v>
      </c>
      <c r="C842" s="3">
        <v>6.6</v>
      </c>
      <c r="D842" s="3">
        <v>70</v>
      </c>
      <c r="E842" s="3">
        <v>4</v>
      </c>
    </row>
    <row r="843" spans="1:5">
      <c r="A843" s="3">
        <v>70</v>
      </c>
      <c r="B843" s="3">
        <v>4.262679877041315</v>
      </c>
      <c r="C843" s="3">
        <v>2.5</v>
      </c>
      <c r="D843" s="3">
        <v>94</v>
      </c>
      <c r="E843" s="3">
        <v>7</v>
      </c>
    </row>
    <row r="844" spans="1:5">
      <c r="A844" s="3">
        <v>40</v>
      </c>
      <c r="B844" s="3">
        <v>3.713572066704308</v>
      </c>
      <c r="C844" s="3">
        <v>0.35</v>
      </c>
      <c r="D844" s="3">
        <v>81</v>
      </c>
      <c r="E844" s="3">
        <v>4.166666667</v>
      </c>
    </row>
    <row r="845" spans="1:5">
      <c r="A845" s="3">
        <v>40</v>
      </c>
      <c r="B845" s="3">
        <v>3.713572066704308</v>
      </c>
      <c r="C845" s="3">
        <v>10.1</v>
      </c>
      <c r="D845" s="3">
        <v>89.33333333</v>
      </c>
      <c r="E845" s="3">
        <v>6.833333333</v>
      </c>
    </row>
    <row r="846" spans="1:5">
      <c r="A846" s="3">
        <v>50</v>
      </c>
      <c r="B846" s="3">
        <v>3.931825632724326</v>
      </c>
      <c r="C846" s="3">
        <v>3.4</v>
      </c>
      <c r="D846" s="3">
        <v>71.5</v>
      </c>
      <c r="E846" s="3">
        <v>5.166666667</v>
      </c>
    </row>
    <row r="847" spans="1:5">
      <c r="A847" s="3">
        <v>40</v>
      </c>
      <c r="B847" s="3">
        <v>3.713572066704308</v>
      </c>
      <c r="C847" s="3">
        <v>0.65</v>
      </c>
      <c r="D847" s="3">
        <v>89.5</v>
      </c>
      <c r="E847" s="3">
        <v>2</v>
      </c>
    </row>
    <row r="848" spans="1:5">
      <c r="A848" s="3">
        <v>70</v>
      </c>
      <c r="B848" s="3">
        <v>4.262679877041315</v>
      </c>
      <c r="C848" s="3">
        <v>7.38</v>
      </c>
      <c r="D848" s="3">
        <v>89</v>
      </c>
      <c r="E848" s="3">
        <v>5.666666667</v>
      </c>
    </row>
    <row r="849" spans="1:5">
      <c r="A849" s="3">
        <v>50</v>
      </c>
      <c r="B849" s="3">
        <v>3.931825632724326</v>
      </c>
      <c r="C849" s="3">
        <v>7.7</v>
      </c>
      <c r="D849" s="3">
        <v>91.66666667</v>
      </c>
      <c r="E849" s="3">
        <v>9</v>
      </c>
    </row>
    <row r="850" spans="1:5">
      <c r="A850" s="3">
        <v>60</v>
      </c>
      <c r="B850" s="3">
        <v>4.110873864173311</v>
      </c>
      <c r="C850" s="3">
        <v>6.3</v>
      </c>
      <c r="D850" s="3">
        <v>96</v>
      </c>
      <c r="E850" s="3">
        <v>3</v>
      </c>
    </row>
    <row r="851" spans="1:5">
      <c r="A851" s="3">
        <v>280</v>
      </c>
      <c r="B851" s="3">
        <v>5.638354669333745</v>
      </c>
      <c r="C851" s="3">
        <v>11.4</v>
      </c>
      <c r="D851" s="3">
        <v>81</v>
      </c>
      <c r="E851" s="3">
        <v>9</v>
      </c>
    </row>
    <row r="852" spans="1:5">
      <c r="A852" s="3">
        <v>50</v>
      </c>
      <c r="B852" s="3">
        <v>3.931825632724326</v>
      </c>
      <c r="C852" s="3">
        <v>14.8</v>
      </c>
      <c r="D852" s="3">
        <v>71.5</v>
      </c>
      <c r="E852" s="3">
        <v>5</v>
      </c>
    </row>
    <row r="853" spans="1:5">
      <c r="A853" s="3">
        <v>140</v>
      </c>
      <c r="B853" s="3">
        <v>4.948759890378168</v>
      </c>
      <c r="C853" s="3">
        <v>13.4</v>
      </c>
      <c r="D853" s="3">
        <v>70</v>
      </c>
      <c r="E853" s="3">
        <v>7</v>
      </c>
    </row>
    <row r="854" spans="1:5">
      <c r="A854" s="3">
        <v>60</v>
      </c>
      <c r="B854" s="3">
        <v>4.110873864173311</v>
      </c>
      <c r="C854" s="3">
        <v>8.75</v>
      </c>
      <c r="D854" s="3">
        <v>75</v>
      </c>
      <c r="E854" s="3">
        <v>4.5</v>
      </c>
    </row>
    <row r="855" spans="1:5">
      <c r="A855" s="3">
        <v>50</v>
      </c>
      <c r="B855" s="3">
        <v>3.931825632724326</v>
      </c>
      <c r="C855" s="3">
        <v>0.3</v>
      </c>
      <c r="D855" s="3">
        <v>95.66666667</v>
      </c>
      <c r="E855" s="3">
        <v>2</v>
      </c>
    </row>
    <row r="856" spans="1:5">
      <c r="A856" s="3">
        <v>80</v>
      </c>
      <c r="B856" s="3">
        <v>4.394449154672439</v>
      </c>
      <c r="C856" s="3">
        <v>14.4</v>
      </c>
      <c r="D856" s="3">
        <v>71.66666667</v>
      </c>
      <c r="E856" s="3">
        <v>4</v>
      </c>
    </row>
    <row r="857" spans="1:5">
      <c r="A857" s="3">
        <v>50</v>
      </c>
      <c r="B857" s="3">
        <v>3.931825632724326</v>
      </c>
      <c r="C857" s="3">
        <v>-0.4</v>
      </c>
      <c r="D857" s="3">
        <v>97.33333333</v>
      </c>
      <c r="E857" s="3">
        <v>2.666666667</v>
      </c>
    </row>
    <row r="858" spans="1:5">
      <c r="A858" s="3">
        <v>40</v>
      </c>
      <c r="B858" s="3">
        <v>3.713572066704308</v>
      </c>
      <c r="C858" s="3">
        <v>5.3</v>
      </c>
      <c r="D858" s="3">
        <v>92</v>
      </c>
      <c r="E858" s="3">
        <v>6</v>
      </c>
    </row>
    <row r="859" spans="1:5">
      <c r="A859" s="3">
        <v>120</v>
      </c>
      <c r="B859" s="3">
        <v>4.795790545596741</v>
      </c>
      <c r="C859" s="3">
        <v>-2.47</v>
      </c>
      <c r="D859" s="3">
        <v>86.33333333</v>
      </c>
      <c r="E859" s="3">
        <v>1</v>
      </c>
    </row>
    <row r="860" spans="1:5">
      <c r="A860" s="3">
        <v>40</v>
      </c>
      <c r="B860" s="3">
        <v>3.713572066704308</v>
      </c>
      <c r="C860" s="3">
        <v>10</v>
      </c>
      <c r="D860" s="3">
        <v>81</v>
      </c>
      <c r="E860" s="3">
        <v>10</v>
      </c>
    </row>
    <row r="861" spans="1:5">
      <c r="A861" s="3">
        <v>30</v>
      </c>
      <c r="B861" s="3">
        <v>3.433987204485146</v>
      </c>
      <c r="C861" s="3">
        <v>4.4</v>
      </c>
      <c r="D861" s="3">
        <v>73</v>
      </c>
      <c r="E861" s="3">
        <v>5</v>
      </c>
    </row>
    <row r="862" spans="1:5">
      <c r="A862" s="3">
        <v>40</v>
      </c>
      <c r="B862" s="3">
        <v>3.713572066704308</v>
      </c>
      <c r="C862" s="3">
        <v>12.7</v>
      </c>
      <c r="D862" s="3">
        <v>84</v>
      </c>
      <c r="E862" s="3">
        <v>2.333333333</v>
      </c>
    </row>
    <row r="863" spans="1:5">
      <c r="A863" s="3">
        <v>50</v>
      </c>
      <c r="B863" s="3">
        <v>3.931825632724326</v>
      </c>
      <c r="C863" s="3">
        <v>3.27</v>
      </c>
      <c r="D863" s="3">
        <v>93.33333333</v>
      </c>
      <c r="E863" s="3">
        <v>4</v>
      </c>
    </row>
    <row r="864" spans="1:5">
      <c r="A864" s="3">
        <v>310</v>
      </c>
      <c r="B864" s="3">
        <v>5.739792912179234</v>
      </c>
      <c r="C864" s="3">
        <v>9.67</v>
      </c>
      <c r="D864" s="3">
        <v>83.5</v>
      </c>
      <c r="E864" s="3">
        <v>9</v>
      </c>
    </row>
    <row r="865" spans="1:5">
      <c r="A865" s="3">
        <v>60</v>
      </c>
      <c r="B865" s="3">
        <v>4.110873864173311</v>
      </c>
      <c r="C865" s="3">
        <v>8.6</v>
      </c>
      <c r="D865" s="3">
        <v>95</v>
      </c>
      <c r="E865" s="3">
        <v>6</v>
      </c>
    </row>
    <row r="866" spans="1:5">
      <c r="A866" s="3">
        <v>50</v>
      </c>
      <c r="B866" s="3">
        <v>3.931825632724326</v>
      </c>
      <c r="C866" s="3">
        <v>0.45</v>
      </c>
      <c r="D866" s="3">
        <v>96.5</v>
      </c>
      <c r="E866" s="3">
        <v>3</v>
      </c>
    </row>
    <row r="867" spans="1:5">
      <c r="A867" s="3">
        <v>80</v>
      </c>
      <c r="B867" s="3">
        <v>4.394449154672439</v>
      </c>
      <c r="C867" s="3">
        <v>5.6</v>
      </c>
      <c r="D867" s="3">
        <v>85.5</v>
      </c>
      <c r="E867" s="3">
        <v>4.5</v>
      </c>
    </row>
    <row r="868" spans="1:5">
      <c r="A868" s="3">
        <v>80</v>
      </c>
      <c r="B868" s="3">
        <v>4.394449154672439</v>
      </c>
      <c r="C868" s="3">
        <v>7.77</v>
      </c>
      <c r="D868" s="3">
        <v>72.33333333</v>
      </c>
      <c r="E868" s="3">
        <v>10.75</v>
      </c>
    </row>
    <row r="869" spans="1:5">
      <c r="A869" s="3">
        <v>60</v>
      </c>
      <c r="B869" s="3">
        <v>4.110873864173311</v>
      </c>
      <c r="C869" s="3">
        <v>11.4</v>
      </c>
      <c r="D869" s="3">
        <v>88</v>
      </c>
      <c r="E869" s="3">
        <v>3.5</v>
      </c>
    </row>
    <row r="870" spans="1:5">
      <c r="A870" s="3">
        <v>370</v>
      </c>
      <c r="B870" s="3">
        <v>5.916202062607435</v>
      </c>
      <c r="C870" s="3">
        <v>5.13</v>
      </c>
      <c r="D870" s="3">
        <v>64.5</v>
      </c>
      <c r="E870" s="3">
        <v>1</v>
      </c>
    </row>
    <row r="871" spans="1:5">
      <c r="A871" s="3">
        <v>90</v>
      </c>
      <c r="B871" s="3">
        <v>4.51085950651685</v>
      </c>
      <c r="C871" s="3">
        <v>10.8</v>
      </c>
      <c r="D871" s="3">
        <v>60.66666667</v>
      </c>
      <c r="E871" s="3">
        <v>5.666666667</v>
      </c>
    </row>
    <row r="872" spans="1:5">
      <c r="A872" s="3">
        <v>30</v>
      </c>
      <c r="B872" s="3">
        <v>3.433987204485146</v>
      </c>
      <c r="C872" s="3">
        <v>6.67</v>
      </c>
      <c r="D872" s="3">
        <v>88</v>
      </c>
      <c r="E872" s="3">
        <v>6.166666667</v>
      </c>
    </row>
    <row r="873" spans="1:5">
      <c r="A873" s="3">
        <v>120</v>
      </c>
      <c r="B873" s="3">
        <v>4.795790545596741</v>
      </c>
      <c r="C873" s="3">
        <v>7.8</v>
      </c>
      <c r="D873" s="3">
        <v>80.33333333</v>
      </c>
      <c r="E873" s="3">
        <v>3.333333333</v>
      </c>
    </row>
    <row r="874" spans="1:5">
      <c r="A874" s="3">
        <v>50</v>
      </c>
      <c r="B874" s="3">
        <v>3.931825632724326</v>
      </c>
      <c r="C874" s="3">
        <v>13.3</v>
      </c>
      <c r="D874" s="3">
        <v>56</v>
      </c>
      <c r="E874" s="3">
        <v>3</v>
      </c>
    </row>
    <row r="875" spans="1:5">
      <c r="A875" s="3">
        <v>60</v>
      </c>
      <c r="B875" s="3">
        <v>4.110873864173311</v>
      </c>
      <c r="C875" s="3">
        <v>7.65</v>
      </c>
      <c r="D875" s="3">
        <v>95.83333333</v>
      </c>
      <c r="E875" s="3">
        <v>2.166666667</v>
      </c>
    </row>
    <row r="876" spans="1:5">
      <c r="A876" s="3">
        <v>50</v>
      </c>
      <c r="B876" s="3">
        <v>3.931825632724326</v>
      </c>
      <c r="C876" s="3">
        <v>12.2</v>
      </c>
      <c r="D876" s="3">
        <v>63.83333333</v>
      </c>
      <c r="E876" s="3">
        <v>1.166666667</v>
      </c>
    </row>
    <row r="877" spans="1:5">
      <c r="A877" s="3">
        <v>50</v>
      </c>
      <c r="B877" s="3">
        <v>3.931825632724326</v>
      </c>
      <c r="C877" s="3">
        <v>10.2</v>
      </c>
      <c r="D877" s="3">
        <v>84</v>
      </c>
      <c r="E877" s="3">
        <v>8.333333333000001</v>
      </c>
    </row>
    <row r="878" spans="1:5">
      <c r="A878" s="3">
        <v>120</v>
      </c>
      <c r="B878" s="3">
        <v>4.795790545596741</v>
      </c>
      <c r="C878" s="3">
        <v>13.9</v>
      </c>
      <c r="D878" s="3">
        <v>47</v>
      </c>
      <c r="E878" s="3">
        <v>2</v>
      </c>
    </row>
    <row r="879" spans="1:5">
      <c r="A879" s="3">
        <v>50</v>
      </c>
      <c r="B879" s="3">
        <v>3.931825632724326</v>
      </c>
      <c r="C879" s="3">
        <v>6.4</v>
      </c>
      <c r="D879" s="3">
        <v>82</v>
      </c>
      <c r="E879" s="3">
        <v>6.5</v>
      </c>
    </row>
    <row r="880" spans="1:5">
      <c r="A880" s="3">
        <v>110</v>
      </c>
      <c r="B880" s="3">
        <v>4.709530201312334</v>
      </c>
      <c r="C880" s="3">
        <v>12.7</v>
      </c>
      <c r="D880" s="3">
        <v>74.5</v>
      </c>
      <c r="E880" s="3">
        <v>4.5</v>
      </c>
    </row>
    <row r="881" spans="1:5">
      <c r="A881" s="3">
        <v>120</v>
      </c>
      <c r="B881" s="3">
        <v>4.795790545596741</v>
      </c>
      <c r="C881" s="3">
        <v>5.8</v>
      </c>
      <c r="D881" s="3">
        <v>88.83333333</v>
      </c>
      <c r="E881" s="3">
        <v>5.166666667</v>
      </c>
    </row>
    <row r="882" spans="1:5">
      <c r="A882" s="3">
        <v>100</v>
      </c>
      <c r="B882" s="3">
        <v>4.61512051684126</v>
      </c>
      <c r="C882" s="3">
        <v>11.7</v>
      </c>
      <c r="D882" s="3">
        <v>78.5</v>
      </c>
      <c r="E882" s="3">
        <v>6.5</v>
      </c>
    </row>
    <row r="883" spans="1:5">
      <c r="A883" s="3">
        <v>20</v>
      </c>
      <c r="B883" s="3">
        <v>3.044522437723423</v>
      </c>
      <c r="C883" s="3">
        <v>7.1</v>
      </c>
      <c r="D883" s="3">
        <v>81.5</v>
      </c>
      <c r="E883" s="3">
        <v>8.5</v>
      </c>
    </row>
    <row r="884" spans="1:5">
      <c r="A884" s="3">
        <v>70</v>
      </c>
      <c r="B884" s="3">
        <v>4.262679877041315</v>
      </c>
      <c r="C884" s="3">
        <v>10.4</v>
      </c>
      <c r="D884" s="3">
        <v>66.66666667</v>
      </c>
      <c r="E884" s="3">
        <v>5.166666667</v>
      </c>
    </row>
    <row r="885" spans="1:5">
      <c r="A885" s="3">
        <v>60</v>
      </c>
      <c r="B885" s="3">
        <v>4.110873864173311</v>
      </c>
      <c r="C885" s="3">
        <v>8.800000000000001</v>
      </c>
      <c r="D885" s="3">
        <v>76.33333333</v>
      </c>
      <c r="E885" s="3">
        <v>5</v>
      </c>
    </row>
    <row r="886" spans="1:5">
      <c r="A886" s="3">
        <v>20</v>
      </c>
      <c r="B886" s="3">
        <v>3.044522437723423</v>
      </c>
      <c r="C886" s="3">
        <v>11.1</v>
      </c>
      <c r="D886" s="3">
        <v>82.5</v>
      </c>
      <c r="E886" s="3">
        <v>10.75</v>
      </c>
    </row>
    <row r="887" spans="1:5">
      <c r="A887" s="3">
        <v>50</v>
      </c>
      <c r="B887" s="3">
        <v>3.931825632724326</v>
      </c>
      <c r="C887" s="3">
        <v>-0.5</v>
      </c>
      <c r="D887" s="3">
        <v>99</v>
      </c>
      <c r="E887" s="3">
        <v>2</v>
      </c>
    </row>
    <row r="888" spans="1:5">
      <c r="A888" s="3">
        <v>310</v>
      </c>
      <c r="B888" s="3">
        <v>5.739792912179234</v>
      </c>
      <c r="C888" s="3">
        <v>5.17</v>
      </c>
      <c r="D888" s="3">
        <v>92</v>
      </c>
      <c r="E888" s="3">
        <v>6</v>
      </c>
    </row>
    <row r="889" spans="1:5">
      <c r="A889" s="3">
        <v>70</v>
      </c>
      <c r="B889" s="3">
        <v>4.262679877041315</v>
      </c>
      <c r="C889" s="3">
        <v>19.7</v>
      </c>
      <c r="D889" s="3">
        <v>48.83333333</v>
      </c>
      <c r="E889" s="3">
        <v>1.833333333</v>
      </c>
    </row>
    <row r="890" spans="1:5">
      <c r="A890" s="3">
        <v>50</v>
      </c>
      <c r="B890" s="3">
        <v>3.931825632724326</v>
      </c>
      <c r="C890" s="3">
        <v>2.53</v>
      </c>
      <c r="D890" s="3">
        <v>92.33333333</v>
      </c>
      <c r="E890" s="3">
        <v>4.666666667</v>
      </c>
    </row>
    <row r="891" spans="1:5">
      <c r="A891" s="3">
        <v>70</v>
      </c>
      <c r="B891" s="3">
        <v>4.262679877041315</v>
      </c>
      <c r="C891" s="3">
        <v>2.2</v>
      </c>
      <c r="D891" s="3">
        <v>93</v>
      </c>
      <c r="E891" s="3">
        <v>1</v>
      </c>
    </row>
    <row r="892" spans="1:5">
      <c r="A892" s="3">
        <v>50</v>
      </c>
      <c r="B892" s="3">
        <v>3.931825632724326</v>
      </c>
      <c r="C892" s="3">
        <v>-3.22</v>
      </c>
      <c r="D892" s="3">
        <v>86</v>
      </c>
      <c r="E892" s="3">
        <v>2</v>
      </c>
    </row>
    <row r="893" spans="1:5">
      <c r="A893" s="3">
        <v>50</v>
      </c>
      <c r="B893" s="3">
        <v>3.931825632724326</v>
      </c>
      <c r="C893" s="3">
        <v>9.029999999999999</v>
      </c>
      <c r="D893" s="3">
        <v>91.5</v>
      </c>
      <c r="E893" s="3">
        <v>2</v>
      </c>
    </row>
    <row r="894" spans="1:5">
      <c r="A894" s="3">
        <v>120</v>
      </c>
      <c r="B894" s="3">
        <v>4.795790545596741</v>
      </c>
      <c r="C894" s="3">
        <v>8.970000000000001</v>
      </c>
      <c r="D894" s="3">
        <v>60.66666667</v>
      </c>
      <c r="E894" s="3">
        <v>4</v>
      </c>
    </row>
    <row r="895" spans="1:5">
      <c r="A895" s="3">
        <v>70</v>
      </c>
      <c r="B895" s="3">
        <v>4.262679877041315</v>
      </c>
      <c r="C895" s="3">
        <v>10.1</v>
      </c>
      <c r="D895" s="3">
        <v>90</v>
      </c>
      <c r="E895" s="3">
        <v>1.5</v>
      </c>
    </row>
    <row r="896" spans="1:5">
      <c r="A896" s="3">
        <v>100</v>
      </c>
      <c r="B896" s="3">
        <v>4.61512051684126</v>
      </c>
      <c r="C896" s="3">
        <v>3.62</v>
      </c>
      <c r="D896" s="3">
        <v>95</v>
      </c>
      <c r="E896" s="3">
        <v>4.833333333</v>
      </c>
    </row>
    <row r="897" spans="1:5">
      <c r="A897" s="3">
        <v>40</v>
      </c>
      <c r="B897" s="3">
        <v>3.713572066704308</v>
      </c>
      <c r="C897" s="3">
        <v>4.65</v>
      </c>
      <c r="D897" s="3">
        <v>51.83333333</v>
      </c>
      <c r="E897" s="3">
        <v>1.166666667</v>
      </c>
    </row>
    <row r="898" spans="1:5">
      <c r="A898" s="3">
        <v>50</v>
      </c>
      <c r="B898" s="3">
        <v>3.931825632724326</v>
      </c>
      <c r="C898" s="3">
        <v>1.6</v>
      </c>
      <c r="D898" s="3">
        <v>88</v>
      </c>
      <c r="E898" s="3">
        <v>5.5</v>
      </c>
    </row>
    <row r="899" spans="1:5">
      <c r="A899" s="3">
        <v>50</v>
      </c>
      <c r="B899" s="3">
        <v>3.931825632724326</v>
      </c>
      <c r="C899" s="3">
        <v>1.72</v>
      </c>
      <c r="D899" s="3">
        <v>88.83333333</v>
      </c>
      <c r="E899" s="3">
        <v>1.333333333</v>
      </c>
    </row>
    <row r="900" spans="1:5">
      <c r="A900" s="3">
        <v>40</v>
      </c>
      <c r="B900" s="3">
        <v>3.713572066704308</v>
      </c>
      <c r="C900" s="3">
        <v>10.2</v>
      </c>
      <c r="D900" s="3">
        <v>87.66666667</v>
      </c>
      <c r="E900" s="3">
        <v>10</v>
      </c>
    </row>
    <row r="901" spans="1:5">
      <c r="A901" s="3">
        <v>40</v>
      </c>
      <c r="B901" s="3">
        <v>3.713572066704308</v>
      </c>
      <c r="C901" s="3">
        <v>-1.3</v>
      </c>
      <c r="D901" s="3">
        <v>73.33333333</v>
      </c>
      <c r="E901" s="3">
        <v>3</v>
      </c>
    </row>
    <row r="902" spans="1:5">
      <c r="A902" s="3">
        <v>40</v>
      </c>
      <c r="B902" s="3">
        <v>3.713572066704308</v>
      </c>
      <c r="C902" s="3">
        <v>0.667</v>
      </c>
      <c r="D902" s="3">
        <v>93.5</v>
      </c>
      <c r="E902" s="3">
        <v>1</v>
      </c>
    </row>
    <row r="903" spans="1:5">
      <c r="A903" s="3">
        <v>90</v>
      </c>
      <c r="B903" s="3">
        <v>4.51085950651685</v>
      </c>
      <c r="C903" s="3">
        <v>6.57</v>
      </c>
      <c r="D903" s="3">
        <v>70.66666667</v>
      </c>
      <c r="E903" s="3">
        <v>3.333333333</v>
      </c>
    </row>
    <row r="904" spans="1:5">
      <c r="A904" s="3">
        <v>70</v>
      </c>
      <c r="B904" s="3">
        <v>4.262679877041315</v>
      </c>
      <c r="C904" s="3">
        <v>8.300000000000001</v>
      </c>
      <c r="D904" s="3">
        <v>69</v>
      </c>
      <c r="E904" s="3">
        <v>4</v>
      </c>
    </row>
    <row r="905" spans="1:5">
      <c r="A905" s="3">
        <v>60</v>
      </c>
      <c r="B905" s="3">
        <v>4.110873864173311</v>
      </c>
      <c r="C905" s="3">
        <v>16.7</v>
      </c>
      <c r="D905" s="3">
        <v>87.33333333</v>
      </c>
      <c r="E905" s="3">
        <v>4.166666667</v>
      </c>
    </row>
    <row r="906" spans="1:5">
      <c r="A906" s="3">
        <v>70</v>
      </c>
      <c r="B906" s="3">
        <v>4.262679877041315</v>
      </c>
      <c r="C906" s="3">
        <v>5.6</v>
      </c>
      <c r="D906" s="3">
        <v>62</v>
      </c>
      <c r="E906" s="3">
        <v>7</v>
      </c>
    </row>
    <row r="907" spans="1:5">
      <c r="A907" s="3">
        <v>60</v>
      </c>
      <c r="B907" s="3">
        <v>4.110873864173311</v>
      </c>
      <c r="C907" s="3">
        <v>6.32</v>
      </c>
      <c r="D907" s="3">
        <v>95</v>
      </c>
      <c r="E907" s="3">
        <v>4</v>
      </c>
    </row>
    <row r="908" spans="1:5">
      <c r="A908" s="3">
        <v>50</v>
      </c>
      <c r="B908" s="3">
        <v>3.931825632724326</v>
      </c>
      <c r="C908" s="3">
        <v>-1.05</v>
      </c>
      <c r="D908" s="3">
        <v>82.5</v>
      </c>
      <c r="E908" s="3">
        <v>2.5</v>
      </c>
    </row>
    <row r="909" spans="1:5">
      <c r="A909" s="3">
        <v>60</v>
      </c>
      <c r="B909" s="3">
        <v>4.110873864173311</v>
      </c>
      <c r="C909" s="3">
        <v>7.03</v>
      </c>
      <c r="D909" s="3">
        <v>92</v>
      </c>
      <c r="E909" s="3">
        <v>4.666666667</v>
      </c>
    </row>
    <row r="910" spans="1:5">
      <c r="A910" s="3">
        <v>40</v>
      </c>
      <c r="B910" s="3">
        <v>3.713572066704308</v>
      </c>
      <c r="C910" s="3">
        <v>10.8</v>
      </c>
      <c r="D910" s="3">
        <v>59.5</v>
      </c>
      <c r="E910" s="3">
        <v>2.166666667</v>
      </c>
    </row>
    <row r="911" spans="1:5">
      <c r="A911" s="3">
        <v>60</v>
      </c>
      <c r="B911" s="3">
        <v>4.110873864173311</v>
      </c>
      <c r="C911" s="3">
        <v>16.5</v>
      </c>
      <c r="D911" s="3">
        <v>89</v>
      </c>
      <c r="E911" s="3">
        <v>4</v>
      </c>
    </row>
    <row r="912" spans="1:5">
      <c r="A912" s="3">
        <v>160</v>
      </c>
      <c r="B912" s="3">
        <v>5.081404364984463</v>
      </c>
      <c r="C912" s="3">
        <v>15.9</v>
      </c>
      <c r="D912" s="3">
        <v>93.33333333</v>
      </c>
      <c r="E912" s="3">
        <v>2</v>
      </c>
    </row>
    <row r="913" spans="1:5">
      <c r="A913" s="3">
        <v>50</v>
      </c>
      <c r="B913" s="3">
        <v>3.931825632724326</v>
      </c>
      <c r="C913" s="3">
        <v>6.1</v>
      </c>
      <c r="D913" s="3">
        <v>97.5</v>
      </c>
      <c r="E913" s="3">
        <v>1</v>
      </c>
    </row>
    <row r="914" spans="1:5">
      <c r="A914" s="3">
        <v>310</v>
      </c>
      <c r="B914" s="3">
        <v>5.739792912179234</v>
      </c>
      <c r="C914" s="3">
        <v>5.52</v>
      </c>
      <c r="D914" s="3">
        <v>60.33333333</v>
      </c>
      <c r="E914" s="3">
        <v>7</v>
      </c>
    </row>
    <row r="915" spans="1:5">
      <c r="A915" s="3">
        <v>50</v>
      </c>
      <c r="B915" s="3">
        <v>3.931825632724326</v>
      </c>
      <c r="C915" s="3">
        <v>2.77</v>
      </c>
      <c r="D915" s="3">
        <v>96.66666667</v>
      </c>
      <c r="E915" s="3">
        <v>2.333333333</v>
      </c>
    </row>
    <row r="916" spans="1:5">
      <c r="A916" s="3">
        <v>80</v>
      </c>
      <c r="B916" s="3">
        <v>4.394449154672439</v>
      </c>
      <c r="C916" s="3">
        <v>4.7</v>
      </c>
      <c r="D916" s="3">
        <v>70</v>
      </c>
      <c r="E916" s="3">
        <v>3</v>
      </c>
    </row>
    <row r="917" spans="1:5">
      <c r="A917" s="3">
        <v>150</v>
      </c>
      <c r="B917" s="3">
        <v>5.017279836814924</v>
      </c>
      <c r="C917" s="3">
        <v>9.23</v>
      </c>
      <c r="D917" s="3">
        <v>67</v>
      </c>
      <c r="E917" s="3">
        <v>7.666666667</v>
      </c>
    </row>
    <row r="918" spans="1:5">
      <c r="A918" s="3">
        <v>750</v>
      </c>
      <c r="B918" s="3">
        <v>6.621405651764134</v>
      </c>
      <c r="C918" s="3">
        <v>3.92</v>
      </c>
      <c r="D918" s="3">
        <v>95</v>
      </c>
      <c r="E918" s="3">
        <v>2.833333333</v>
      </c>
    </row>
    <row r="919" spans="1:5">
      <c r="A919" s="3">
        <v>50</v>
      </c>
      <c r="B919" s="3">
        <v>3.931825632724326</v>
      </c>
      <c r="C919" s="3">
        <v>3.3</v>
      </c>
      <c r="D919" s="3">
        <v>89</v>
      </c>
      <c r="E919" s="3">
        <v>5.5</v>
      </c>
    </row>
    <row r="920" spans="1:5">
      <c r="A920" s="3">
        <v>40</v>
      </c>
      <c r="B920" s="3">
        <v>3.713572066704308</v>
      </c>
      <c r="C920" s="3">
        <v>-0.3</v>
      </c>
      <c r="D920" s="3">
        <v>88.16666667</v>
      </c>
      <c r="E920" s="3">
        <v>3</v>
      </c>
    </row>
    <row r="921" spans="1:5">
      <c r="A921" s="3">
        <v>390</v>
      </c>
      <c r="B921" s="3">
        <v>5.968707559985366</v>
      </c>
      <c r="C921" s="3">
        <v>8</v>
      </c>
      <c r="D921" s="3">
        <v>95</v>
      </c>
      <c r="E921" s="3">
        <v>3.5</v>
      </c>
    </row>
    <row r="922" spans="1:5">
      <c r="A922" s="3">
        <v>60</v>
      </c>
      <c r="B922" s="3">
        <v>4.110873864173311</v>
      </c>
      <c r="C922" s="3">
        <v>6.8</v>
      </c>
      <c r="D922" s="3">
        <v>82.5</v>
      </c>
      <c r="E922" s="3">
        <v>5</v>
      </c>
    </row>
    <row r="923" spans="1:5">
      <c r="A923" s="3">
        <v>160</v>
      </c>
      <c r="B923" s="3">
        <v>5.081404364984463</v>
      </c>
      <c r="C923" s="3">
        <v>3.7</v>
      </c>
      <c r="D923" s="3">
        <v>93.33333333</v>
      </c>
      <c r="E923" s="3">
        <v>5</v>
      </c>
    </row>
    <row r="924" spans="1:5">
      <c r="A924" s="3">
        <v>100</v>
      </c>
      <c r="B924" s="3">
        <v>4.61512051684126</v>
      </c>
      <c r="C924" s="3">
        <v>7.65</v>
      </c>
      <c r="D924" s="3">
        <v>65</v>
      </c>
      <c r="E924" s="3">
        <v>2.5</v>
      </c>
    </row>
    <row r="925" spans="1:5">
      <c r="A925" s="3">
        <v>60</v>
      </c>
      <c r="B925" s="3">
        <v>4.110873864173311</v>
      </c>
      <c r="C925" s="3">
        <v>14.6</v>
      </c>
      <c r="D925" s="3">
        <v>53.16666667</v>
      </c>
      <c r="E925" s="3">
        <v>2.833333333</v>
      </c>
    </row>
    <row r="926" spans="1:5">
      <c r="A926" s="3">
        <v>50</v>
      </c>
      <c r="B926" s="3">
        <v>3.931825632724326</v>
      </c>
      <c r="C926" s="3">
        <v>2.25</v>
      </c>
      <c r="D926" s="3">
        <v>75</v>
      </c>
      <c r="E926" s="3">
        <v>3.5</v>
      </c>
    </row>
    <row r="927" spans="1:5">
      <c r="A927" s="3">
        <v>50</v>
      </c>
      <c r="B927" s="3">
        <v>3.931825632724326</v>
      </c>
      <c r="C927" s="3">
        <v>5.83</v>
      </c>
      <c r="D927" s="3">
        <v>87</v>
      </c>
      <c r="E927" s="3">
        <v>1.666666667</v>
      </c>
    </row>
    <row r="928" spans="1:5">
      <c r="A928" s="3">
        <v>50</v>
      </c>
      <c r="B928" s="3">
        <v>3.931825632724326</v>
      </c>
      <c r="C928" s="3">
        <v>13.4</v>
      </c>
      <c r="D928" s="3">
        <v>84.66666667</v>
      </c>
      <c r="E928" s="3">
        <v>2.666666667</v>
      </c>
    </row>
    <row r="929" spans="1:5">
      <c r="A929" s="3">
        <v>110</v>
      </c>
      <c r="B929" s="3">
        <v>4.709530201312334</v>
      </c>
      <c r="C929" s="3">
        <v>2.83</v>
      </c>
      <c r="D929" s="3">
        <v>81</v>
      </c>
      <c r="E929" s="3">
        <v>3</v>
      </c>
    </row>
    <row r="930" spans="1:5">
      <c r="A930" s="3">
        <v>50</v>
      </c>
      <c r="B930" s="3">
        <v>3.931825632724326</v>
      </c>
      <c r="C930" s="3">
        <v>5.3</v>
      </c>
      <c r="D930" s="3">
        <v>91</v>
      </c>
      <c r="E930" s="3">
        <v>3.333333333</v>
      </c>
    </row>
    <row r="931" spans="1:5">
      <c r="A931" s="3">
        <v>110</v>
      </c>
      <c r="B931" s="3">
        <v>4.709530201312334</v>
      </c>
      <c r="C931" s="3">
        <v>20.495</v>
      </c>
      <c r="D931" s="3">
        <v>58</v>
      </c>
      <c r="E931" s="3">
        <v>1.333333333</v>
      </c>
    </row>
    <row r="932" spans="1:5">
      <c r="A932" s="3">
        <v>40</v>
      </c>
      <c r="B932" s="3">
        <v>3.713572066704308</v>
      </c>
      <c r="C932" s="3">
        <v>-1.18</v>
      </c>
      <c r="D932" s="3">
        <v>96.5</v>
      </c>
      <c r="E932" s="3">
        <v>2</v>
      </c>
    </row>
    <row r="933" spans="1:5">
      <c r="A933" s="3">
        <v>50</v>
      </c>
      <c r="B933" s="3">
        <v>3.931825632724326</v>
      </c>
      <c r="C933" s="3">
        <v>9.470000000000001</v>
      </c>
      <c r="D933" s="3">
        <v>84.5</v>
      </c>
      <c r="E933" s="3">
        <v>5</v>
      </c>
    </row>
    <row r="934" spans="1:5">
      <c r="A934" s="3">
        <v>50</v>
      </c>
      <c r="B934" s="3">
        <v>3.931825632724326</v>
      </c>
      <c r="C934" s="3">
        <v>9.43</v>
      </c>
      <c r="D934" s="3">
        <v>91.5</v>
      </c>
      <c r="E934" s="3">
        <v>2</v>
      </c>
    </row>
    <row r="935" spans="1:5">
      <c r="A935" s="3">
        <v>40</v>
      </c>
      <c r="B935" s="3">
        <v>3.713572066704308</v>
      </c>
      <c r="C935" s="3">
        <v>7.4</v>
      </c>
      <c r="D935" s="3">
        <v>80.33333333</v>
      </c>
      <c r="E935" s="3">
        <v>7</v>
      </c>
    </row>
    <row r="936" spans="1:5">
      <c r="A936" s="3">
        <v>40</v>
      </c>
      <c r="B936" s="3">
        <v>3.713572066704308</v>
      </c>
      <c r="C936" s="3">
        <v>-4.37</v>
      </c>
      <c r="D936" s="3">
        <v>90.33333333</v>
      </c>
      <c r="E936" s="3">
        <v>1</v>
      </c>
    </row>
    <row r="937" spans="1:5">
      <c r="A937" s="3">
        <v>60</v>
      </c>
      <c r="B937" s="3">
        <v>4.110873864173311</v>
      </c>
      <c r="C937" s="3">
        <v>10</v>
      </c>
      <c r="D937" s="3">
        <v>85.33333333</v>
      </c>
      <c r="E937" s="3">
        <v>1</v>
      </c>
    </row>
    <row r="938" spans="1:5">
      <c r="A938" s="3">
        <v>50</v>
      </c>
      <c r="B938" s="3">
        <v>3.931825632724326</v>
      </c>
      <c r="C938" s="3">
        <v>2.9</v>
      </c>
      <c r="D938" s="3">
        <v>98</v>
      </c>
      <c r="E938" s="3">
        <v>2</v>
      </c>
    </row>
    <row r="939" spans="1:5">
      <c r="A939" s="3">
        <v>50</v>
      </c>
      <c r="B939" s="3">
        <v>3.931825632724326</v>
      </c>
      <c r="C939" s="3">
        <v>11.5</v>
      </c>
      <c r="D939" s="3">
        <v>87</v>
      </c>
      <c r="E939" s="3">
        <v>2.833333333</v>
      </c>
    </row>
    <row r="940" spans="1:5">
      <c r="A940" s="3">
        <v>50</v>
      </c>
      <c r="B940" s="3">
        <v>3.931825632724326</v>
      </c>
      <c r="C940" s="3">
        <v>15.4</v>
      </c>
      <c r="D940" s="3">
        <v>60.66666667</v>
      </c>
      <c r="E940" s="3">
        <v>2</v>
      </c>
    </row>
    <row r="941" spans="1:5">
      <c r="A941" s="3">
        <v>50</v>
      </c>
      <c r="B941" s="3">
        <v>3.931825632724326</v>
      </c>
      <c r="C941" s="3">
        <v>9.68</v>
      </c>
      <c r="D941" s="3">
        <v>95.66666667</v>
      </c>
      <c r="E941" s="3">
        <v>1.333333333</v>
      </c>
    </row>
    <row r="942" spans="1:5">
      <c r="A942" s="3">
        <v>40</v>
      </c>
      <c r="B942" s="3">
        <v>3.713572066704308</v>
      </c>
      <c r="C942" s="3">
        <v>5.98</v>
      </c>
      <c r="D942" s="3">
        <v>72.16666667</v>
      </c>
      <c r="E942" s="3">
        <v>8.666666666999999</v>
      </c>
    </row>
    <row r="943" spans="1:5">
      <c r="A943" s="3">
        <v>70</v>
      </c>
      <c r="B943" s="3">
        <v>4.262679877041315</v>
      </c>
      <c r="C943" s="3">
        <v>15.6</v>
      </c>
      <c r="D943" s="3">
        <v>87.66666667</v>
      </c>
      <c r="E943" s="3">
        <v>4.666666667</v>
      </c>
    </row>
    <row r="944" spans="1:5">
      <c r="A944" s="3">
        <v>70</v>
      </c>
      <c r="B944" s="3">
        <v>4.262679877041315</v>
      </c>
      <c r="C944" s="3">
        <v>7.7</v>
      </c>
      <c r="D944" s="3">
        <v>78</v>
      </c>
      <c r="E944" s="3">
        <v>2</v>
      </c>
    </row>
    <row r="945" spans="1:5">
      <c r="A945" s="3">
        <v>60</v>
      </c>
      <c r="B945" s="3">
        <v>4.110873864173311</v>
      </c>
      <c r="C945" s="3">
        <v>3.7</v>
      </c>
      <c r="D945" s="3">
        <v>95</v>
      </c>
      <c r="E945" s="3">
        <v>2</v>
      </c>
    </row>
    <row r="946" spans="1:5">
      <c r="A946" s="3">
        <v>40</v>
      </c>
      <c r="B946" s="3">
        <v>3.713572066704308</v>
      </c>
      <c r="C946" s="3">
        <v>10.9</v>
      </c>
      <c r="D946" s="3">
        <v>75</v>
      </c>
      <c r="E946" s="3">
        <v>9</v>
      </c>
    </row>
    <row r="947" spans="1:5">
      <c r="A947" s="3">
        <v>60</v>
      </c>
      <c r="B947" s="3">
        <v>4.110873864173311</v>
      </c>
      <c r="C947" s="3">
        <v>12.6</v>
      </c>
      <c r="D947" s="3">
        <v>54.66666667</v>
      </c>
      <c r="E947" s="3">
        <v>10.16666667</v>
      </c>
    </row>
    <row r="948" spans="1:5">
      <c r="A948" s="3">
        <v>70</v>
      </c>
      <c r="B948" s="3">
        <v>4.262679877041315</v>
      </c>
      <c r="C948" s="3">
        <v>4.5</v>
      </c>
      <c r="D948" s="3">
        <v>69.66666667</v>
      </c>
      <c r="E948" s="3">
        <v>4</v>
      </c>
    </row>
    <row r="949" spans="1:5">
      <c r="A949" s="3">
        <v>130</v>
      </c>
      <c r="B949" s="3">
        <v>4.875197323201151</v>
      </c>
      <c r="C949" s="3">
        <v>9.57</v>
      </c>
      <c r="D949" s="3">
        <v>71.66666667</v>
      </c>
      <c r="E949" s="3">
        <v>2</v>
      </c>
    </row>
    <row r="950" spans="1:5">
      <c r="A950" s="3">
        <v>90</v>
      </c>
      <c r="B950" s="3">
        <v>4.51085950651685</v>
      </c>
      <c r="C950" s="3">
        <v>0.867</v>
      </c>
      <c r="D950" s="3">
        <v>94.66666667</v>
      </c>
      <c r="E950" s="3">
        <v>1</v>
      </c>
    </row>
    <row r="951" spans="1:5">
      <c r="A951" s="3">
        <v>20</v>
      </c>
      <c r="B951" s="3">
        <v>3.044522437723423</v>
      </c>
      <c r="C951" s="3">
        <v>1.43</v>
      </c>
      <c r="D951" s="3">
        <v>97.66666667</v>
      </c>
      <c r="E951" s="3">
        <v>2.666666667</v>
      </c>
    </row>
    <row r="952" spans="1:5">
      <c r="A952" s="3">
        <v>60</v>
      </c>
      <c r="B952" s="3">
        <v>4.110873864173311</v>
      </c>
      <c r="C952" s="3">
        <v>5.5</v>
      </c>
      <c r="D952" s="3">
        <v>60</v>
      </c>
      <c r="E952" s="3">
        <v>7</v>
      </c>
    </row>
    <row r="953" spans="1:5">
      <c r="A953" s="3">
        <v>80</v>
      </c>
      <c r="B953" s="3">
        <v>4.394449154672439</v>
      </c>
      <c r="C953" s="3">
        <v>0.6</v>
      </c>
      <c r="D953" s="3">
        <v>90.33333333</v>
      </c>
      <c r="E953" s="3">
        <v>1</v>
      </c>
    </row>
    <row r="954" spans="1:5">
      <c r="A954" s="3">
        <v>70</v>
      </c>
      <c r="B954" s="3">
        <v>4.262679877041315</v>
      </c>
      <c r="C954" s="3">
        <v>5.2</v>
      </c>
      <c r="D954" s="3">
        <v>67</v>
      </c>
      <c r="E954" s="3">
        <v>7</v>
      </c>
    </row>
    <row r="955" spans="1:5">
      <c r="A955" s="3">
        <v>90</v>
      </c>
      <c r="B955" s="3">
        <v>4.51085950651685</v>
      </c>
      <c r="C955" s="3">
        <v>2.23</v>
      </c>
      <c r="D955" s="3">
        <v>75</v>
      </c>
      <c r="E955" s="3">
        <v>3</v>
      </c>
    </row>
    <row r="956" spans="1:5">
      <c r="A956" s="3">
        <v>80</v>
      </c>
      <c r="B956" s="3">
        <v>4.394449154672439</v>
      </c>
      <c r="C956" s="3">
        <v>10.4</v>
      </c>
      <c r="D956" s="3">
        <v>73.33333333</v>
      </c>
      <c r="E956" s="3">
        <v>6.666666667</v>
      </c>
    </row>
    <row r="957" spans="1:5">
      <c r="A957" s="3">
        <v>40</v>
      </c>
      <c r="B957" s="3">
        <v>3.713572066704308</v>
      </c>
      <c r="C957" s="3">
        <v>2.08</v>
      </c>
      <c r="D957" s="3">
        <v>88.16666667</v>
      </c>
      <c r="E957" s="3">
        <v>1</v>
      </c>
    </row>
    <row r="958" spans="1:5">
      <c r="A958" s="3">
        <v>70</v>
      </c>
      <c r="B958" s="3">
        <v>4.262679877041315</v>
      </c>
      <c r="C958" s="3">
        <v>1.42</v>
      </c>
      <c r="D958" s="3">
        <v>97.83333333</v>
      </c>
      <c r="E958" s="3">
        <v>1</v>
      </c>
    </row>
    <row r="959" spans="1:5">
      <c r="A959" s="3">
        <v>50</v>
      </c>
      <c r="B959" s="3">
        <v>3.931825632724326</v>
      </c>
      <c r="C959" s="3">
        <v>4.75</v>
      </c>
      <c r="D959" s="3">
        <v>96.5</v>
      </c>
      <c r="E959" s="3">
        <v>1</v>
      </c>
    </row>
    <row r="960" spans="1:5">
      <c r="A960" s="3">
        <v>110</v>
      </c>
      <c r="B960" s="3">
        <v>4.709530201312334</v>
      </c>
      <c r="C960" s="3">
        <v>13.7</v>
      </c>
      <c r="D960" s="3">
        <v>69</v>
      </c>
      <c r="E960" s="3">
        <v>6</v>
      </c>
    </row>
    <row r="961" spans="1:5">
      <c r="A961" s="3">
        <v>50</v>
      </c>
      <c r="B961" s="3">
        <v>3.931825632724326</v>
      </c>
      <c r="C961" s="3">
        <v>4.3</v>
      </c>
      <c r="D961" s="3">
        <v>89</v>
      </c>
      <c r="E961" s="3">
        <v>3</v>
      </c>
    </row>
    <row r="962" spans="1:5">
      <c r="A962" s="3">
        <v>30</v>
      </c>
      <c r="B962" s="3">
        <v>3.433987204485146</v>
      </c>
      <c r="C962" s="3">
        <v>-0.0667</v>
      </c>
      <c r="D962" s="3">
        <v>90.33333333</v>
      </c>
      <c r="E962" s="3">
        <v>4.333333333</v>
      </c>
    </row>
    <row r="963" spans="1:5">
      <c r="A963" s="3">
        <v>60</v>
      </c>
      <c r="B963" s="3">
        <v>4.110873864173311</v>
      </c>
      <c r="C963" s="3">
        <v>4</v>
      </c>
      <c r="D963" s="3">
        <v>78</v>
      </c>
      <c r="E963" s="3">
        <v>7</v>
      </c>
    </row>
    <row r="964" spans="1:5">
      <c r="A964" s="3">
        <v>200</v>
      </c>
      <c r="B964" s="3">
        <v>5.303304908059076</v>
      </c>
      <c r="C964" s="3">
        <v>6.3</v>
      </c>
      <c r="D964" s="3">
        <v>86.5</v>
      </c>
      <c r="E964" s="3">
        <v>3.666666667</v>
      </c>
    </row>
    <row r="965" spans="1:5">
      <c r="A965" s="3">
        <v>80</v>
      </c>
      <c r="B965" s="3">
        <v>4.394449154672439</v>
      </c>
      <c r="C965" s="3">
        <v>7.65</v>
      </c>
      <c r="D965" s="3">
        <v>81</v>
      </c>
      <c r="E965" s="3">
        <v>4</v>
      </c>
    </row>
    <row r="966" spans="1:5">
      <c r="A966" s="3">
        <v>90</v>
      </c>
      <c r="B966" s="3">
        <v>4.51085950651685</v>
      </c>
      <c r="C966" s="3">
        <v>4.9</v>
      </c>
      <c r="D966" s="3">
        <v>73.5</v>
      </c>
      <c r="E966" s="3">
        <v>3.5</v>
      </c>
    </row>
    <row r="967" spans="1:5">
      <c r="A967" s="3">
        <v>30</v>
      </c>
      <c r="B967" s="3">
        <v>3.433987204485146</v>
      </c>
      <c r="C967" s="3">
        <v>4.4</v>
      </c>
      <c r="D967" s="3">
        <v>90.5</v>
      </c>
      <c r="E967" s="3">
        <v>4</v>
      </c>
    </row>
    <row r="968" spans="1:5">
      <c r="A968" s="3">
        <v>110</v>
      </c>
      <c r="B968" s="3">
        <v>4.709530201312334</v>
      </c>
      <c r="C968" s="3">
        <v>6.85</v>
      </c>
      <c r="D968" s="3">
        <v>65.83333333</v>
      </c>
      <c r="E968" s="3">
        <v>7.666666667</v>
      </c>
    </row>
    <row r="969" spans="1:5">
      <c r="A969" s="3">
        <v>90</v>
      </c>
      <c r="B969" s="3">
        <v>4.51085950651685</v>
      </c>
      <c r="C969" s="3">
        <v>17.3</v>
      </c>
      <c r="D969" s="3">
        <v>65</v>
      </c>
      <c r="E969" s="3">
        <v>2</v>
      </c>
    </row>
    <row r="970" spans="1:5">
      <c r="A970" s="3">
        <v>50</v>
      </c>
      <c r="B970" s="3">
        <v>3.931825632724326</v>
      </c>
      <c r="C970" s="3">
        <v>0.467</v>
      </c>
      <c r="D970" s="3">
        <v>96.66666667</v>
      </c>
      <c r="E970" s="3">
        <v>1.666666667</v>
      </c>
    </row>
    <row r="971" spans="1:5">
      <c r="A971" s="3">
        <v>70</v>
      </c>
      <c r="B971" s="3">
        <v>4.262679877041315</v>
      </c>
      <c r="C971" s="3">
        <v>9.699999999999999</v>
      </c>
      <c r="D971" s="3">
        <v>83.5</v>
      </c>
      <c r="E971" s="3">
        <v>2</v>
      </c>
    </row>
    <row r="972" spans="1:5">
      <c r="A972" s="3">
        <v>270</v>
      </c>
      <c r="B972" s="3">
        <v>5.602118820879701</v>
      </c>
      <c r="C972" s="3">
        <v>13.4</v>
      </c>
      <c r="D972" s="3">
        <v>58.5</v>
      </c>
      <c r="E972" s="3">
        <v>6</v>
      </c>
    </row>
    <row r="973" spans="1:5">
      <c r="A973" s="3">
        <v>70</v>
      </c>
      <c r="B973" s="3">
        <v>4.262679877041315</v>
      </c>
      <c r="C973" s="3">
        <v>6</v>
      </c>
      <c r="D973" s="3">
        <v>93</v>
      </c>
      <c r="E973" s="3">
        <v>5</v>
      </c>
    </row>
    <row r="974" spans="1:5">
      <c r="A974" s="3">
        <v>20</v>
      </c>
      <c r="B974" s="3">
        <v>3.044522437723423</v>
      </c>
      <c r="C974" s="3">
        <v>3.89</v>
      </c>
      <c r="D974" s="3">
        <v>91.42857143000001</v>
      </c>
      <c r="E974" s="3">
        <v>6.714285714</v>
      </c>
    </row>
    <row r="975" spans="1:5">
      <c r="A975" s="3">
        <v>230</v>
      </c>
      <c r="B975" s="3">
        <v>5.442417710521793</v>
      </c>
      <c r="C975" s="3">
        <v>2.23</v>
      </c>
      <c r="D975" s="3">
        <v>87.66666667</v>
      </c>
      <c r="E975" s="3">
        <v>2.833333333</v>
      </c>
    </row>
    <row r="976" spans="1:5">
      <c r="A976" s="3">
        <v>60</v>
      </c>
      <c r="B976" s="3">
        <v>4.110873864173311</v>
      </c>
      <c r="C976" s="3">
        <v>3.5</v>
      </c>
      <c r="D976" s="3">
        <v>88</v>
      </c>
      <c r="E976" s="3">
        <v>9</v>
      </c>
    </row>
    <row r="977" spans="1:5">
      <c r="A977" s="3">
        <v>50</v>
      </c>
      <c r="B977" s="3">
        <v>3.931825632724326</v>
      </c>
      <c r="C977" s="3">
        <v>9.32</v>
      </c>
      <c r="D977" s="3">
        <v>56.66666667</v>
      </c>
      <c r="E977" s="3">
        <v>5</v>
      </c>
    </row>
    <row r="978" spans="1:5">
      <c r="A978" s="3">
        <v>80</v>
      </c>
      <c r="B978" s="3">
        <v>4.394449154672439</v>
      </c>
      <c r="C978" s="3">
        <v>3.2</v>
      </c>
      <c r="D978" s="3">
        <v>97.5</v>
      </c>
      <c r="E978" s="3">
        <v>3.5</v>
      </c>
    </row>
    <row r="979" spans="1:5">
      <c r="A979" s="3">
        <v>70</v>
      </c>
      <c r="B979" s="3">
        <v>4.262679877041315</v>
      </c>
      <c r="C979" s="3">
        <v>4.47</v>
      </c>
      <c r="D979" s="3">
        <v>91.66666667</v>
      </c>
      <c r="E979" s="3">
        <v>5.833333333</v>
      </c>
    </row>
    <row r="980" spans="1:5">
      <c r="A980" s="3">
        <v>80</v>
      </c>
      <c r="B980" s="3">
        <v>4.394449154672439</v>
      </c>
      <c r="C980" s="3">
        <v>6.57</v>
      </c>
      <c r="D980" s="3">
        <v>97</v>
      </c>
      <c r="E980" s="3">
        <v>1</v>
      </c>
    </row>
    <row r="981" spans="1:5">
      <c r="A981" s="3">
        <v>50</v>
      </c>
      <c r="B981" s="3">
        <v>3.931825632724326</v>
      </c>
      <c r="C981" s="3">
        <v>3.75</v>
      </c>
      <c r="D981" s="3">
        <v>86.16666667</v>
      </c>
      <c r="E981" s="3">
        <v>2</v>
      </c>
    </row>
    <row r="982" spans="1:5">
      <c r="A982" s="3">
        <v>270</v>
      </c>
      <c r="B982" s="3">
        <v>5.602118820879701</v>
      </c>
      <c r="C982" s="3">
        <v>5.17</v>
      </c>
      <c r="D982" s="3">
        <v>61.33333333</v>
      </c>
      <c r="E982" s="3">
        <v>7.666666667</v>
      </c>
    </row>
    <row r="983" spans="1:5">
      <c r="A983" s="3">
        <v>70</v>
      </c>
      <c r="B983" s="3">
        <v>4.262679877041315</v>
      </c>
      <c r="C983" s="3">
        <v>6.7</v>
      </c>
      <c r="D983" s="3">
        <v>77.66666667</v>
      </c>
      <c r="E983" s="3">
        <v>7.333333333</v>
      </c>
    </row>
    <row r="984" spans="1:5">
      <c r="A984" s="3">
        <v>50</v>
      </c>
      <c r="B984" s="3">
        <v>3.931825632724326</v>
      </c>
      <c r="C984" s="3">
        <v>12.3</v>
      </c>
      <c r="D984" s="3">
        <v>85</v>
      </c>
      <c r="E984" s="3">
        <v>1</v>
      </c>
    </row>
    <row r="985" spans="1:5">
      <c r="A985" s="3">
        <v>60</v>
      </c>
      <c r="B985" s="3">
        <v>4.110873864173311</v>
      </c>
      <c r="C985" s="3">
        <v>12.3</v>
      </c>
      <c r="D985" s="3">
        <v>60.66666667</v>
      </c>
      <c r="E985" s="3">
        <v>4.333333333</v>
      </c>
    </row>
    <row r="986" spans="1:5">
      <c r="A986" s="3">
        <v>60</v>
      </c>
      <c r="B986" s="3">
        <v>4.110873864173311</v>
      </c>
      <c r="C986" s="3">
        <v>9.529999999999999</v>
      </c>
      <c r="D986" s="3">
        <v>79.33333333</v>
      </c>
      <c r="E986" s="3">
        <v>6.333333333</v>
      </c>
    </row>
    <row r="987" spans="1:5">
      <c r="A987" s="3">
        <v>50</v>
      </c>
      <c r="B987" s="3">
        <v>3.931825632724326</v>
      </c>
      <c r="C987" s="3">
        <v>1.2</v>
      </c>
      <c r="D987" s="3">
        <v>97</v>
      </c>
      <c r="E987" s="3">
        <v>1</v>
      </c>
    </row>
    <row r="988" spans="1:5">
      <c r="A988" s="3">
        <v>60</v>
      </c>
      <c r="B988" s="3">
        <v>4.110873864173311</v>
      </c>
      <c r="C988" s="3">
        <v>3.75</v>
      </c>
      <c r="D988" s="3">
        <v>89</v>
      </c>
      <c r="E988" s="3">
        <v>1</v>
      </c>
    </row>
    <row r="989" spans="1:5">
      <c r="A989" s="3">
        <v>60</v>
      </c>
      <c r="B989" s="3">
        <v>4.110873864173311</v>
      </c>
      <c r="C989" s="3">
        <v>2.63</v>
      </c>
      <c r="D989" s="3">
        <v>87.33333333</v>
      </c>
      <c r="E989" s="3">
        <v>3.833333333</v>
      </c>
    </row>
    <row r="990" spans="1:5">
      <c r="A990" s="3">
        <v>70</v>
      </c>
      <c r="B990" s="3">
        <v>4.262679877041315</v>
      </c>
      <c r="C990" s="3">
        <v>3.38</v>
      </c>
      <c r="D990" s="3">
        <v>91.66666667</v>
      </c>
      <c r="E990" s="3">
        <v>1</v>
      </c>
    </row>
    <row r="991" spans="1:5">
      <c r="A991" s="3">
        <v>60</v>
      </c>
      <c r="B991" s="3">
        <v>4.110873864173311</v>
      </c>
      <c r="C991" s="3">
        <v>10.4</v>
      </c>
      <c r="D991" s="3">
        <v>70.16666667</v>
      </c>
      <c r="E991" s="3">
        <v>5.166666667</v>
      </c>
    </row>
    <row r="992" spans="1:5">
      <c r="A992" s="3">
        <v>50</v>
      </c>
      <c r="B992" s="3">
        <v>3.931825632724326</v>
      </c>
      <c r="C992" s="3">
        <v>2.5</v>
      </c>
      <c r="D992" s="3">
        <v>84</v>
      </c>
      <c r="E992" s="3">
        <v>6</v>
      </c>
    </row>
    <row r="993" spans="1:5">
      <c r="A993" s="3">
        <v>20</v>
      </c>
      <c r="B993" s="3">
        <v>3.044522437723423</v>
      </c>
      <c r="C993" s="3">
        <v>-1.2</v>
      </c>
      <c r="D993" s="3">
        <v>87</v>
      </c>
      <c r="E993" s="3">
        <v>3</v>
      </c>
    </row>
    <row r="994" spans="1:5">
      <c r="A994" s="3">
        <v>100</v>
      </c>
      <c r="B994" s="3">
        <v>4.61512051684126</v>
      </c>
      <c r="C994" s="3">
        <v>18.1</v>
      </c>
      <c r="D994" s="3">
        <v>69</v>
      </c>
      <c r="E994" s="3">
        <v>1</v>
      </c>
    </row>
    <row r="995" spans="1:5">
      <c r="A995" s="3">
        <v>690</v>
      </c>
      <c r="B995" s="3">
        <v>6.53813982376767</v>
      </c>
      <c r="C995" s="3">
        <v>3.83</v>
      </c>
      <c r="D995" s="3">
        <v>93</v>
      </c>
      <c r="E995" s="3">
        <v>4.166666667</v>
      </c>
    </row>
    <row r="996" spans="1:5">
      <c r="A996" s="3">
        <v>120</v>
      </c>
      <c r="B996" s="3">
        <v>4.795790545596741</v>
      </c>
      <c r="C996" s="3">
        <v>20.495</v>
      </c>
      <c r="D996" s="3">
        <v>41</v>
      </c>
      <c r="E996" s="3">
        <v>3.833333333</v>
      </c>
    </row>
    <row r="997" spans="1:5">
      <c r="A997" s="3">
        <v>130</v>
      </c>
      <c r="B997" s="3">
        <v>4.875197323201151</v>
      </c>
      <c r="C997" s="3">
        <v>6.4</v>
      </c>
      <c r="D997" s="3">
        <v>67.33333333</v>
      </c>
      <c r="E997" s="3">
        <v>8.333333333000001</v>
      </c>
    </row>
    <row r="998" spans="1:5">
      <c r="A998" s="3">
        <v>50</v>
      </c>
      <c r="B998" s="3">
        <v>3.931825632724326</v>
      </c>
      <c r="C998" s="3">
        <v>6.27</v>
      </c>
      <c r="D998" s="3">
        <v>79</v>
      </c>
      <c r="E998" s="3">
        <v>8.666666666999999</v>
      </c>
    </row>
    <row r="999" spans="1:5">
      <c r="A999" s="3">
        <v>50</v>
      </c>
      <c r="B999" s="3">
        <v>3.931825632724326</v>
      </c>
      <c r="C999" s="3">
        <v>0.633</v>
      </c>
      <c r="D999" s="3">
        <v>74</v>
      </c>
      <c r="E999" s="3">
        <v>5</v>
      </c>
    </row>
    <row r="1000" spans="1:5">
      <c r="A1000" s="3">
        <v>300</v>
      </c>
      <c r="B1000" s="3">
        <v>5.707110264748875</v>
      </c>
      <c r="C1000" s="3">
        <v>4.97</v>
      </c>
      <c r="D1000" s="3">
        <v>66.66666667</v>
      </c>
      <c r="E1000" s="3">
        <v>2.666666667</v>
      </c>
    </row>
    <row r="1001" spans="1:5">
      <c r="A1001" s="3">
        <v>100</v>
      </c>
      <c r="B1001" s="3">
        <v>4.61512051684126</v>
      </c>
      <c r="C1001" s="3">
        <v>7.83</v>
      </c>
      <c r="D1001" s="3">
        <v>82.16666667</v>
      </c>
      <c r="E1001" s="3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cols>
    <col min="1" max="4" width="18.7109375" style="3" customWidth="1"/>
  </cols>
  <sheetData>
    <row r="1" spans="1:4">
      <c r="A1" s="1" t="s">
        <v>46</v>
      </c>
      <c r="B1" s="1" t="s">
        <v>47</v>
      </c>
      <c r="C1" s="1" t="s">
        <v>48</v>
      </c>
      <c r="D1" s="1" t="s">
        <v>49</v>
      </c>
    </row>
    <row r="2" spans="1:4">
      <c r="A2" s="3">
        <v>38.25</v>
      </c>
      <c r="B2" s="3">
        <v>393</v>
      </c>
      <c r="C2" s="3">
        <v>3.133944518074441</v>
      </c>
      <c r="D2" s="3">
        <v>22</v>
      </c>
    </row>
    <row r="3" spans="1:4">
      <c r="A3" s="3">
        <v>74.75</v>
      </c>
      <c r="B3" s="3">
        <v>343</v>
      </c>
      <c r="C3" s="3">
        <v>3.312788678776476</v>
      </c>
      <c r="D3" s="3">
        <v>0</v>
      </c>
    </row>
    <row r="4" spans="1:4">
      <c r="A4" s="3">
        <v>111.25</v>
      </c>
      <c r="B4" s="3">
        <v>123</v>
      </c>
      <c r="C4" s="3">
        <v>3.491632839478512</v>
      </c>
      <c r="D4" s="3">
        <v>34</v>
      </c>
    </row>
    <row r="5" spans="1:4">
      <c r="A5" s="3">
        <v>147.75</v>
      </c>
      <c r="B5" s="3">
        <v>38</v>
      </c>
      <c r="C5" s="3">
        <v>3.670477000180548</v>
      </c>
      <c r="D5" s="3">
        <v>107</v>
      </c>
    </row>
    <row r="6" spans="1:4">
      <c r="A6" s="3">
        <v>184.25</v>
      </c>
      <c r="B6" s="3">
        <v>15</v>
      </c>
      <c r="C6" s="3">
        <v>3.849321160882583</v>
      </c>
      <c r="D6" s="3">
        <v>230</v>
      </c>
    </row>
    <row r="7" spans="1:4">
      <c r="A7" s="3">
        <v>220.75</v>
      </c>
      <c r="B7" s="3">
        <v>11</v>
      </c>
      <c r="C7" s="3">
        <v>4.028165321584618</v>
      </c>
      <c r="D7" s="3">
        <v>137</v>
      </c>
    </row>
    <row r="8" spans="1:4">
      <c r="A8" s="3">
        <v>257.25</v>
      </c>
      <c r="B8" s="3">
        <v>21</v>
      </c>
      <c r="C8" s="3">
        <v>4.207009482286654</v>
      </c>
      <c r="D8" s="3">
        <v>91</v>
      </c>
    </row>
    <row r="9" spans="1:4">
      <c r="A9" s="3">
        <v>293.75</v>
      </c>
      <c r="B9" s="3">
        <v>14</v>
      </c>
      <c r="C9" s="3">
        <v>4.38585364298869</v>
      </c>
      <c r="D9" s="3">
        <v>55</v>
      </c>
    </row>
    <row r="10" spans="1:4">
      <c r="A10" s="3">
        <v>330.25</v>
      </c>
      <c r="B10" s="3">
        <v>5</v>
      </c>
      <c r="C10" s="3">
        <v>4.564697803690725</v>
      </c>
      <c r="D10" s="3">
        <v>102</v>
      </c>
    </row>
    <row r="11" spans="1:4">
      <c r="A11" s="3">
        <v>366.75</v>
      </c>
      <c r="B11" s="3">
        <v>6</v>
      </c>
      <c r="C11" s="3">
        <v>4.743541964392761</v>
      </c>
      <c r="D11" s="3">
        <v>81</v>
      </c>
    </row>
    <row r="12" spans="1:4">
      <c r="A12" s="3">
        <v>403.25</v>
      </c>
      <c r="B12" s="3">
        <v>15</v>
      </c>
      <c r="C12" s="3">
        <v>4.922386125094796</v>
      </c>
      <c r="D12" s="3">
        <v>29</v>
      </c>
    </row>
    <row r="13" spans="1:4">
      <c r="A13" s="3">
        <v>439.75</v>
      </c>
      <c r="B13" s="3">
        <v>5</v>
      </c>
      <c r="C13" s="3">
        <v>5.101230285796833</v>
      </c>
      <c r="D13" s="3">
        <v>11</v>
      </c>
    </row>
    <row r="14" spans="1:4">
      <c r="A14" s="3">
        <v>476.25</v>
      </c>
      <c r="B14" s="3">
        <v>2</v>
      </c>
      <c r="C14" s="3">
        <v>5.280074446498867</v>
      </c>
      <c r="D14" s="3">
        <v>16</v>
      </c>
    </row>
    <row r="15" spans="1:4">
      <c r="A15" s="3">
        <v>512.75</v>
      </c>
      <c r="B15" s="3">
        <v>1</v>
      </c>
      <c r="C15" s="3">
        <v>5.458918607200903</v>
      </c>
      <c r="D15" s="3">
        <v>16</v>
      </c>
    </row>
    <row r="16" spans="1:4">
      <c r="A16" s="3">
        <v>549.25</v>
      </c>
      <c r="B16" s="3">
        <v>1</v>
      </c>
      <c r="C16" s="3">
        <v>5.637762767902939</v>
      </c>
      <c r="D16" s="3">
        <v>23</v>
      </c>
    </row>
    <row r="17" spans="1:4">
      <c r="A17" s="3">
        <v>585.75</v>
      </c>
      <c r="B17" s="3">
        <v>2</v>
      </c>
      <c r="C17" s="3">
        <v>5.816606928604974</v>
      </c>
      <c r="D17" s="3">
        <v>12</v>
      </c>
    </row>
    <row r="18" spans="1:4">
      <c r="A18" s="3">
        <v>622.25</v>
      </c>
      <c r="B18" s="3">
        <v>1</v>
      </c>
      <c r="C18" s="3">
        <v>5.99545108930701</v>
      </c>
      <c r="D18" s="3">
        <v>20</v>
      </c>
    </row>
    <row r="19" spans="1:4">
      <c r="A19" s="3">
        <v>658.75</v>
      </c>
      <c r="B19" s="3">
        <v>1</v>
      </c>
      <c r="C19" s="3">
        <v>6.174295250009045</v>
      </c>
      <c r="D19" s="3">
        <v>6</v>
      </c>
    </row>
    <row r="20" spans="1:4">
      <c r="A20" s="3">
        <v>695.25</v>
      </c>
      <c r="B20" s="3">
        <v>1</v>
      </c>
      <c r="C20" s="3">
        <v>6.353139410711081</v>
      </c>
      <c r="D20" s="3">
        <v>4</v>
      </c>
    </row>
    <row r="21" spans="1:4">
      <c r="A21" s="3">
        <v>731.75</v>
      </c>
      <c r="B21" s="3">
        <v>2</v>
      </c>
      <c r="C21" s="3">
        <v>6.531983571413116</v>
      </c>
      <c r="D21" s="3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Heart Raw</vt:lpstr>
      <vt:lpstr>Heart Frequency</vt:lpstr>
      <vt:lpstr>Heart Stats</vt:lpstr>
      <vt:lpstr>Heart Scatter</vt:lpstr>
      <vt:lpstr>Appliances Daily</vt:lpstr>
      <vt:lpstr>Appliances Sample</vt:lpstr>
      <vt:lpstr>Appliances Histogram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2026-06-25T18:31:21Z</dcterms:created>
  <dcterms:modified xsi:type="dcterms:W3CDTF">2026-06-25T18:31:21Z</dcterms:modified>
</cp:coreProperties>
</file>